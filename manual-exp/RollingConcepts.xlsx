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ddha\Desktop\"/>
    </mc:Choice>
  </mc:AlternateContent>
  <xr:revisionPtr revIDLastSave="0" documentId="13_ncr:1_{92D1D159-1378-49C5-AC00-4700437FA844}" xr6:coauthVersionLast="47" xr6:coauthVersionMax="47" xr10:uidLastSave="{00000000-0000-0000-0000-000000000000}"/>
  <bookViews>
    <workbookView xWindow="-108" yWindow="-108" windowWidth="23256" windowHeight="12456" firstSheet="2" activeTab="3" xr2:uid="{2940F284-D1DF-441D-A980-E4C666FA534B}"/>
  </bookViews>
  <sheets>
    <sheet name="Denoising" sheetId="1" r:id="rId1"/>
    <sheet name="RollingSDAndRegimeShifts" sheetId="2" r:id="rId2"/>
    <sheet name="Dynamic Operating Envelopes" sheetId="3" r:id="rId3"/>
    <sheet name="CumulativeSaturationAndMemro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4" l="1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37" i="4"/>
  <c r="K31" i="4"/>
  <c r="K33" i="4"/>
  <c r="K34" i="4"/>
  <c r="K35" i="4"/>
  <c r="K36" i="4"/>
  <c r="K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L28" i="4" s="1"/>
  <c r="K22" i="4"/>
  <c r="K23" i="4"/>
  <c r="K24" i="4"/>
  <c r="K25" i="4"/>
  <c r="K26" i="4"/>
  <c r="K27" i="4"/>
  <c r="K28" i="4"/>
  <c r="K29" i="4"/>
  <c r="K30" i="4"/>
  <c r="K2" i="4"/>
  <c r="H61" i="4"/>
  <c r="E61" i="4"/>
  <c r="B61" i="4"/>
  <c r="H60" i="4"/>
  <c r="E60" i="4"/>
  <c r="B60" i="4"/>
  <c r="H59" i="4"/>
  <c r="E59" i="4"/>
  <c r="B59" i="4"/>
  <c r="H58" i="4"/>
  <c r="E58" i="4"/>
  <c r="B58" i="4"/>
  <c r="H57" i="4"/>
  <c r="E57" i="4"/>
  <c r="B57" i="4"/>
  <c r="H56" i="4"/>
  <c r="E56" i="4"/>
  <c r="B56" i="4"/>
  <c r="H55" i="4"/>
  <c r="E55" i="4"/>
  <c r="B55" i="4"/>
  <c r="H54" i="4"/>
  <c r="E54" i="4"/>
  <c r="B54" i="4"/>
  <c r="H53" i="4"/>
  <c r="E53" i="4"/>
  <c r="B53" i="4"/>
  <c r="H52" i="4"/>
  <c r="E52" i="4"/>
  <c r="B52" i="4"/>
  <c r="H51" i="4"/>
  <c r="E51" i="4"/>
  <c r="B51" i="4"/>
  <c r="H50" i="4"/>
  <c r="E50" i="4"/>
  <c r="B50" i="4"/>
  <c r="H49" i="4"/>
  <c r="E49" i="4"/>
  <c r="B49" i="4"/>
  <c r="H48" i="4"/>
  <c r="E48" i="4"/>
  <c r="B48" i="4"/>
  <c r="H47" i="4"/>
  <c r="E47" i="4"/>
  <c r="B47" i="4"/>
  <c r="E46" i="4"/>
  <c r="B46" i="4"/>
  <c r="H45" i="4"/>
  <c r="H46" i="4" s="1"/>
  <c r="E45" i="4"/>
  <c r="B45" i="4"/>
  <c r="H44" i="4"/>
  <c r="E44" i="4"/>
  <c r="B44" i="4"/>
  <c r="H43" i="4"/>
  <c r="E43" i="4"/>
  <c r="B43" i="4"/>
  <c r="H42" i="4"/>
  <c r="E42" i="4"/>
  <c r="B42" i="4"/>
  <c r="H41" i="4"/>
  <c r="E41" i="4"/>
  <c r="B41" i="4"/>
  <c r="H40" i="4"/>
  <c r="E40" i="4"/>
  <c r="B40" i="4"/>
  <c r="H39" i="4"/>
  <c r="E39" i="4"/>
  <c r="B39" i="4"/>
  <c r="H38" i="4"/>
  <c r="E38" i="4"/>
  <c r="B38" i="4"/>
  <c r="H37" i="4"/>
  <c r="E37" i="4"/>
  <c r="B37" i="4"/>
  <c r="H36" i="4"/>
  <c r="E36" i="4"/>
  <c r="B36" i="4"/>
  <c r="H35" i="4"/>
  <c r="E35" i="4"/>
  <c r="B35" i="4"/>
  <c r="H34" i="4"/>
  <c r="E34" i="4"/>
  <c r="B34" i="4"/>
  <c r="H33" i="4"/>
  <c r="E33" i="4"/>
  <c r="B33" i="4"/>
  <c r="H32" i="4"/>
  <c r="E32" i="4"/>
  <c r="B32" i="4"/>
  <c r="H31" i="4"/>
  <c r="E31" i="4"/>
  <c r="B31" i="4"/>
  <c r="H30" i="4"/>
  <c r="E30" i="4"/>
  <c r="B30" i="4"/>
  <c r="H29" i="4"/>
  <c r="E29" i="4"/>
  <c r="B29" i="4"/>
  <c r="H28" i="4"/>
  <c r="E28" i="4"/>
  <c r="B28" i="4"/>
  <c r="H27" i="4"/>
  <c r="E27" i="4"/>
  <c r="B27" i="4"/>
  <c r="H26" i="4"/>
  <c r="E26" i="4"/>
  <c r="B26" i="4"/>
  <c r="H25" i="4"/>
  <c r="E25" i="4"/>
  <c r="B25" i="4"/>
  <c r="H24" i="4"/>
  <c r="E24" i="4"/>
  <c r="B24" i="4"/>
  <c r="H23" i="4"/>
  <c r="E23" i="4"/>
  <c r="B23" i="4"/>
  <c r="H22" i="4"/>
  <c r="E22" i="4"/>
  <c r="B22" i="4"/>
  <c r="H21" i="4"/>
  <c r="E21" i="4"/>
  <c r="B21" i="4"/>
  <c r="H20" i="4"/>
  <c r="E20" i="4"/>
  <c r="B20" i="4"/>
  <c r="H19" i="4"/>
  <c r="E19" i="4"/>
  <c r="B19" i="4"/>
  <c r="H18" i="4"/>
  <c r="E18" i="4"/>
  <c r="B18" i="4"/>
  <c r="H17" i="4"/>
  <c r="E17" i="4"/>
  <c r="B17" i="4"/>
  <c r="H16" i="4"/>
  <c r="E16" i="4"/>
  <c r="B16" i="4"/>
  <c r="H15" i="4"/>
  <c r="E15" i="4"/>
  <c r="B15" i="4"/>
  <c r="H14" i="4"/>
  <c r="E14" i="4"/>
  <c r="B14" i="4"/>
  <c r="H13" i="4"/>
  <c r="E13" i="4"/>
  <c r="B13" i="4"/>
  <c r="H12" i="4"/>
  <c r="E12" i="4"/>
  <c r="B12" i="4"/>
  <c r="H11" i="4"/>
  <c r="E11" i="4"/>
  <c r="B11" i="4"/>
  <c r="H10" i="4"/>
  <c r="E10" i="4"/>
  <c r="B10" i="4"/>
  <c r="H9" i="4"/>
  <c r="E9" i="4"/>
  <c r="B9" i="4"/>
  <c r="H8" i="4"/>
  <c r="E8" i="4"/>
  <c r="B8" i="4"/>
  <c r="H7" i="4"/>
  <c r="E7" i="4"/>
  <c r="B7" i="4"/>
  <c r="H6" i="4"/>
  <c r="E6" i="4"/>
  <c r="B6" i="4"/>
  <c r="H5" i="4"/>
  <c r="E5" i="4"/>
  <c r="B5" i="4"/>
  <c r="H4" i="4"/>
  <c r="E4" i="4"/>
  <c r="B4" i="4"/>
  <c r="H3" i="4"/>
  <c r="E3" i="4"/>
  <c r="B3" i="4"/>
  <c r="E2" i="4"/>
  <c r="B2" i="4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47" i="3"/>
  <c r="H36" i="3"/>
  <c r="H37" i="3"/>
  <c r="H38" i="3"/>
  <c r="H39" i="3"/>
  <c r="H40" i="3"/>
  <c r="H41" i="3"/>
  <c r="H42" i="3"/>
  <c r="H43" i="3"/>
  <c r="H44" i="3"/>
  <c r="H45" i="3"/>
  <c r="H35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4" i="3"/>
  <c r="H3" i="3"/>
  <c r="E61" i="3"/>
  <c r="B61" i="3"/>
  <c r="E60" i="3"/>
  <c r="B60" i="3"/>
  <c r="E59" i="3"/>
  <c r="B59" i="3"/>
  <c r="E58" i="3"/>
  <c r="B58" i="3"/>
  <c r="E57" i="3"/>
  <c r="B57" i="3"/>
  <c r="E56" i="3"/>
  <c r="B56" i="3"/>
  <c r="E55" i="3"/>
  <c r="B55" i="3"/>
  <c r="E54" i="3"/>
  <c r="B54" i="3"/>
  <c r="E53" i="3"/>
  <c r="B53" i="3"/>
  <c r="E52" i="3"/>
  <c r="B52" i="3"/>
  <c r="E51" i="3"/>
  <c r="B51" i="3"/>
  <c r="E50" i="3"/>
  <c r="B50" i="3"/>
  <c r="E49" i="3"/>
  <c r="B49" i="3"/>
  <c r="E48" i="3"/>
  <c r="B48" i="3"/>
  <c r="E47" i="3"/>
  <c r="B47" i="3"/>
  <c r="E46" i="3"/>
  <c r="B46" i="3"/>
  <c r="E45" i="3"/>
  <c r="B45" i="3"/>
  <c r="E44" i="3"/>
  <c r="B44" i="3"/>
  <c r="E43" i="3"/>
  <c r="B43" i="3"/>
  <c r="E42" i="3"/>
  <c r="B42" i="3"/>
  <c r="E41" i="3"/>
  <c r="B41" i="3"/>
  <c r="E40" i="3"/>
  <c r="B40" i="3"/>
  <c r="E39" i="3"/>
  <c r="B39" i="3"/>
  <c r="E38" i="3"/>
  <c r="B38" i="3"/>
  <c r="E37" i="3"/>
  <c r="B37" i="3"/>
  <c r="E36" i="3"/>
  <c r="B36" i="3"/>
  <c r="E35" i="3"/>
  <c r="B35" i="3"/>
  <c r="E34" i="3"/>
  <c r="B34" i="3"/>
  <c r="E33" i="3"/>
  <c r="B33" i="3"/>
  <c r="E32" i="3"/>
  <c r="B32" i="3"/>
  <c r="E31" i="3"/>
  <c r="B31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E2" i="3"/>
  <c r="B2" i="3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1" i="1"/>
  <c r="B3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2" i="1"/>
  <c r="B33" i="1"/>
  <c r="B34" i="1"/>
  <c r="B35" i="1"/>
  <c r="B36" i="1"/>
  <c r="B37" i="1"/>
  <c r="B38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2" i="1"/>
  <c r="L31" i="4" l="1"/>
  <c r="L10" i="4"/>
  <c r="L43" i="4"/>
  <c r="L11" i="4"/>
  <c r="L29" i="4"/>
  <c r="L16" i="4"/>
  <c r="L15" i="4"/>
  <c r="L30" i="4"/>
  <c r="L53" i="4"/>
  <c r="L26" i="4"/>
  <c r="L41" i="4"/>
  <c r="L50" i="4"/>
  <c r="L25" i="4"/>
  <c r="L36" i="4"/>
  <c r="L51" i="4"/>
  <c r="L24" i="4"/>
  <c r="L34" i="4"/>
  <c r="L47" i="4"/>
  <c r="L20" i="4"/>
  <c r="L44" i="4"/>
  <c r="L46" i="4"/>
  <c r="L27" i="4"/>
  <c r="L42" i="4"/>
  <c r="L19" i="4"/>
  <c r="L45" i="4"/>
  <c r="L14" i="4"/>
  <c r="L61" i="4"/>
  <c r="L37" i="4"/>
  <c r="L17" i="4"/>
  <c r="L60" i="4"/>
  <c r="L33" i="4"/>
  <c r="L13" i="4"/>
  <c r="L56" i="4"/>
  <c r="L32" i="4"/>
  <c r="L12" i="4"/>
  <c r="L55" i="4"/>
  <c r="L54" i="4"/>
  <c r="L57" i="4"/>
  <c r="L49" i="4"/>
  <c r="L23" i="4"/>
  <c r="L22" i="4"/>
  <c r="L48" i="4"/>
  <c r="L9" i="4"/>
  <c r="L21" i="4"/>
  <c r="L40" i="4"/>
  <c r="L59" i="4"/>
  <c r="L39" i="4"/>
  <c r="L58" i="4"/>
  <c r="L38" i="4"/>
  <c r="L18" i="4"/>
  <c r="L35" i="4"/>
  <c r="L52" i="4"/>
  <c r="C40" i="4"/>
  <c r="C60" i="4"/>
  <c r="C47" i="4"/>
  <c r="C5" i="4"/>
  <c r="C31" i="4"/>
  <c r="F44" i="4"/>
  <c r="I34" i="4"/>
  <c r="C28" i="4"/>
  <c r="C22" i="4"/>
  <c r="C29" i="4"/>
  <c r="G46" i="4"/>
  <c r="C51" i="4"/>
  <c r="C44" i="4"/>
  <c r="C24" i="4"/>
  <c r="C18" i="4"/>
  <c r="F37" i="4"/>
  <c r="F42" i="4"/>
  <c r="C46" i="4"/>
  <c r="C7" i="4"/>
  <c r="F24" i="4"/>
  <c r="F33" i="4"/>
  <c r="C61" i="4"/>
  <c r="D40" i="4"/>
  <c r="C49" i="4"/>
  <c r="J23" i="4"/>
  <c r="I48" i="4"/>
  <c r="F53" i="4"/>
  <c r="C15" i="4"/>
  <c r="F32" i="4"/>
  <c r="I50" i="4"/>
  <c r="D50" i="4"/>
  <c r="F15" i="4"/>
  <c r="I28" i="4"/>
  <c r="I37" i="4"/>
  <c r="J45" i="4"/>
  <c r="C45" i="4"/>
  <c r="D39" i="4"/>
  <c r="F55" i="4"/>
  <c r="D15" i="4"/>
  <c r="G10" i="4"/>
  <c r="C36" i="4"/>
  <c r="I15" i="4"/>
  <c r="J61" i="4"/>
  <c r="J18" i="4"/>
  <c r="F16" i="4"/>
  <c r="J41" i="4"/>
  <c r="J12" i="4"/>
  <c r="D17" i="4"/>
  <c r="G28" i="4"/>
  <c r="D55" i="4"/>
  <c r="F59" i="4"/>
  <c r="D19" i="4"/>
  <c r="C27" i="4"/>
  <c r="I52" i="4"/>
  <c r="D29" i="4"/>
  <c r="C41" i="4"/>
  <c r="J58" i="4"/>
  <c r="G53" i="4"/>
  <c r="J17" i="4"/>
  <c r="G50" i="4"/>
  <c r="I59" i="4"/>
  <c r="D18" i="4"/>
  <c r="G24" i="4"/>
  <c r="D35" i="4"/>
  <c r="G35" i="4"/>
  <c r="G45" i="4"/>
  <c r="D51" i="4"/>
  <c r="C57" i="4"/>
  <c r="J55" i="4"/>
  <c r="F21" i="4"/>
  <c r="I57" i="4"/>
  <c r="G44" i="4"/>
  <c r="J25" i="4"/>
  <c r="D30" i="4"/>
  <c r="J46" i="4"/>
  <c r="C58" i="4"/>
  <c r="F17" i="4"/>
  <c r="G11" i="4"/>
  <c r="C16" i="4"/>
  <c r="G34" i="4"/>
  <c r="F23" i="4"/>
  <c r="C38" i="4"/>
  <c r="G12" i="4"/>
  <c r="C11" i="4"/>
  <c r="F22" i="4"/>
  <c r="G61" i="4"/>
  <c r="D38" i="4"/>
  <c r="J40" i="4"/>
  <c r="D26" i="4"/>
  <c r="G21" i="4"/>
  <c r="F43" i="4"/>
  <c r="I29" i="4"/>
  <c r="G9" i="4"/>
  <c r="G23" i="4"/>
  <c r="G38" i="4"/>
  <c r="I30" i="4"/>
  <c r="C42" i="4"/>
  <c r="J35" i="4"/>
  <c r="J14" i="4"/>
  <c r="I32" i="4"/>
  <c r="J43" i="4"/>
  <c r="F50" i="4"/>
  <c r="D49" i="4"/>
  <c r="J21" i="4"/>
  <c r="I17" i="4"/>
  <c r="G58" i="4"/>
  <c r="D10" i="4"/>
  <c r="G54" i="4"/>
  <c r="C55" i="4"/>
  <c r="G16" i="4"/>
  <c r="J38" i="4"/>
  <c r="C9" i="4"/>
  <c r="J26" i="4"/>
  <c r="C26" i="4"/>
  <c r="C37" i="4"/>
  <c r="F52" i="4"/>
  <c r="G30" i="4"/>
  <c r="D31" i="4"/>
  <c r="G41" i="4"/>
  <c r="I49" i="4"/>
  <c r="I54" i="4"/>
  <c r="F61" i="4"/>
  <c r="I14" i="4"/>
  <c r="C20" i="4"/>
  <c r="D42" i="4"/>
  <c r="C48" i="4"/>
  <c r="D57" i="4"/>
  <c r="C10" i="4"/>
  <c r="G32" i="4"/>
  <c r="F57" i="4"/>
  <c r="J57" i="4"/>
  <c r="G25" i="4"/>
  <c r="F31" i="4"/>
  <c r="F41" i="4"/>
  <c r="J60" i="4"/>
  <c r="D59" i="4"/>
  <c r="G48" i="4"/>
  <c r="J59" i="4"/>
  <c r="F12" i="4"/>
  <c r="F19" i="4"/>
  <c r="D37" i="4"/>
  <c r="F35" i="4"/>
  <c r="G43" i="4"/>
  <c r="C54" i="4"/>
  <c r="C56" i="4"/>
  <c r="G26" i="4"/>
  <c r="D33" i="4"/>
  <c r="J39" i="4"/>
  <c r="D53" i="4"/>
  <c r="I26" i="4"/>
  <c r="I46" i="4"/>
  <c r="F10" i="4"/>
  <c r="C13" i="4"/>
  <c r="G17" i="4"/>
  <c r="I19" i="4"/>
  <c r="D24" i="4"/>
  <c r="F26" i="4"/>
  <c r="J30" i="4"/>
  <c r="C33" i="4"/>
  <c r="G37" i="4"/>
  <c r="I39" i="4"/>
  <c r="D44" i="4"/>
  <c r="F46" i="4"/>
  <c r="J50" i="4"/>
  <c r="C53" i="4"/>
  <c r="G57" i="4"/>
  <c r="D22" i="4"/>
  <c r="G33" i="4"/>
  <c r="D60" i="4"/>
  <c r="I44" i="4"/>
  <c r="D58" i="4"/>
  <c r="F11" i="4"/>
  <c r="G20" i="4"/>
  <c r="F29" i="4"/>
  <c r="J33" i="4"/>
  <c r="I42" i="4"/>
  <c r="J53" i="4"/>
  <c r="G60" i="4"/>
  <c r="D16" i="4"/>
  <c r="F18" i="4"/>
  <c r="J22" i="4"/>
  <c r="C25" i="4"/>
  <c r="G29" i="4"/>
  <c r="I31" i="4"/>
  <c r="D36" i="4"/>
  <c r="F38" i="4"/>
  <c r="J42" i="4"/>
  <c r="G49" i="4"/>
  <c r="I51" i="4"/>
  <c r="D56" i="4"/>
  <c r="F58" i="4"/>
  <c r="C14" i="4"/>
  <c r="G18" i="4"/>
  <c r="I20" i="4"/>
  <c r="D25" i="4"/>
  <c r="F27" i="4"/>
  <c r="J31" i="4"/>
  <c r="C34" i="4"/>
  <c r="I40" i="4"/>
  <c r="D45" i="4"/>
  <c r="F47" i="4"/>
  <c r="J51" i="4"/>
  <c r="I60" i="4"/>
  <c r="D14" i="4"/>
  <c r="J20" i="4"/>
  <c r="C23" i="4"/>
  <c r="G27" i="4"/>
  <c r="D34" i="4"/>
  <c r="F36" i="4"/>
  <c r="C43" i="4"/>
  <c r="G47" i="4"/>
  <c r="D54" i="4"/>
  <c r="F56" i="4"/>
  <c r="G15" i="4"/>
  <c r="D20" i="4"/>
  <c r="J15" i="4"/>
  <c r="F20" i="4"/>
  <c r="G31" i="4"/>
  <c r="J44" i="4"/>
  <c r="F60" i="4"/>
  <c r="J13" i="4"/>
  <c r="I22" i="4"/>
  <c r="D27" i="4"/>
  <c r="G40" i="4"/>
  <c r="D47" i="4"/>
  <c r="F49" i="4"/>
  <c r="D9" i="4"/>
  <c r="C12" i="4"/>
  <c r="I18" i="4"/>
  <c r="D23" i="4"/>
  <c r="F25" i="4"/>
  <c r="J29" i="4"/>
  <c r="C32" i="4"/>
  <c r="G36" i="4"/>
  <c r="I38" i="4"/>
  <c r="D43" i="4"/>
  <c r="F45" i="4"/>
  <c r="J49" i="4"/>
  <c r="C52" i="4"/>
  <c r="G56" i="4"/>
  <c r="I58" i="4"/>
  <c r="D12" i="4"/>
  <c r="F14" i="4"/>
  <c r="C21" i="4"/>
  <c r="I27" i="4"/>
  <c r="D32" i="4"/>
  <c r="F34" i="4"/>
  <c r="I47" i="4"/>
  <c r="D52" i="4"/>
  <c r="F54" i="4"/>
  <c r="F9" i="4"/>
  <c r="G14" i="4"/>
  <c r="I16" i="4"/>
  <c r="D21" i="4"/>
  <c r="J27" i="4"/>
  <c r="C30" i="4"/>
  <c r="I36" i="4"/>
  <c r="D41" i="4"/>
  <c r="J47" i="4"/>
  <c r="C50" i="4"/>
  <c r="I56" i="4"/>
  <c r="D61" i="4"/>
  <c r="J19" i="4"/>
  <c r="J48" i="4"/>
  <c r="J56" i="4"/>
  <c r="D13" i="4"/>
  <c r="J37" i="4"/>
  <c r="I55" i="4"/>
  <c r="F51" i="4"/>
  <c r="G51" i="4"/>
  <c r="G55" i="4"/>
  <c r="G13" i="4"/>
  <c r="I35" i="4"/>
  <c r="C8" i="4"/>
  <c r="I13" i="4"/>
  <c r="J24" i="4"/>
  <c r="I33" i="4"/>
  <c r="F40" i="4"/>
  <c r="I53" i="4"/>
  <c r="C19" i="4"/>
  <c r="J36" i="4"/>
  <c r="I45" i="4"/>
  <c r="C59" i="4"/>
  <c r="G52" i="4"/>
  <c r="C17" i="4"/>
  <c r="F30" i="4"/>
  <c r="J34" i="4"/>
  <c r="I43" i="4"/>
  <c r="J54" i="4"/>
  <c r="I12" i="4"/>
  <c r="F39" i="4"/>
  <c r="C6" i="4"/>
  <c r="G19" i="4"/>
  <c r="I21" i="4"/>
  <c r="F28" i="4"/>
  <c r="J32" i="4"/>
  <c r="C35" i="4"/>
  <c r="G39" i="4"/>
  <c r="I41" i="4"/>
  <c r="D46" i="4"/>
  <c r="F48" i="4"/>
  <c r="J52" i="4"/>
  <c r="G59" i="4"/>
  <c r="I61" i="4"/>
  <c r="J28" i="4"/>
  <c r="F13" i="4"/>
  <c r="D11" i="4"/>
  <c r="G22" i="4"/>
  <c r="I24" i="4"/>
  <c r="G42" i="4"/>
  <c r="J16" i="4"/>
  <c r="I25" i="4"/>
  <c r="C39" i="4"/>
  <c r="I23" i="4"/>
  <c r="D28" i="4"/>
  <c r="D48" i="4"/>
  <c r="J32" i="3"/>
  <c r="I32" i="3"/>
  <c r="I30" i="3"/>
  <c r="I29" i="3"/>
  <c r="I28" i="3"/>
  <c r="J26" i="3"/>
  <c r="I26" i="3"/>
  <c r="I25" i="3"/>
  <c r="J23" i="3"/>
  <c r="I23" i="3"/>
  <c r="J19" i="3"/>
  <c r="J31" i="3"/>
  <c r="I31" i="3"/>
  <c r="J30" i="3"/>
  <c r="J29" i="3"/>
  <c r="J28" i="3"/>
  <c r="I27" i="3"/>
  <c r="J22" i="3"/>
  <c r="J21" i="3"/>
  <c r="J20" i="3"/>
  <c r="J14" i="3"/>
  <c r="J27" i="3"/>
  <c r="J25" i="3"/>
  <c r="J24" i="3"/>
  <c r="I24" i="3"/>
  <c r="J18" i="3"/>
  <c r="J17" i="3"/>
  <c r="J16" i="3"/>
  <c r="J35" i="3"/>
  <c r="J15" i="3"/>
  <c r="J34" i="3"/>
  <c r="J33" i="3"/>
  <c r="J13" i="3"/>
  <c r="I21" i="3"/>
  <c r="I19" i="3"/>
  <c r="I17" i="3"/>
  <c r="I16" i="3"/>
  <c r="I22" i="3"/>
  <c r="D40" i="3"/>
  <c r="I18" i="3"/>
  <c r="I35" i="3"/>
  <c r="I15" i="3"/>
  <c r="D50" i="3"/>
  <c r="I20" i="3"/>
  <c r="I34" i="3"/>
  <c r="I14" i="3"/>
  <c r="I33" i="3"/>
  <c r="I13" i="3"/>
  <c r="J12" i="3"/>
  <c r="I12" i="3"/>
  <c r="D32" i="3"/>
  <c r="J36" i="3"/>
  <c r="C8" i="3"/>
  <c r="D30" i="3"/>
  <c r="G39" i="3"/>
  <c r="C49" i="3"/>
  <c r="C22" i="3"/>
  <c r="C32" i="3"/>
  <c r="C39" i="3"/>
  <c r="C29" i="3"/>
  <c r="F26" i="3"/>
  <c r="C17" i="3"/>
  <c r="C13" i="3"/>
  <c r="F56" i="3"/>
  <c r="G12" i="3"/>
  <c r="C52" i="3"/>
  <c r="D9" i="3"/>
  <c r="C5" i="3"/>
  <c r="C6" i="2"/>
  <c r="C15" i="3"/>
  <c r="D42" i="3"/>
  <c r="F46" i="3"/>
  <c r="C18" i="3"/>
  <c r="D16" i="3"/>
  <c r="D52" i="3"/>
  <c r="G25" i="3"/>
  <c r="G59" i="3"/>
  <c r="D60" i="3"/>
  <c r="G9" i="3"/>
  <c r="C19" i="3"/>
  <c r="F42" i="3"/>
  <c r="D12" i="3"/>
  <c r="F36" i="3"/>
  <c r="G19" i="3"/>
  <c r="G35" i="3"/>
  <c r="F12" i="3"/>
  <c r="D20" i="3"/>
  <c r="G45" i="3"/>
  <c r="C59" i="3"/>
  <c r="C24" i="3"/>
  <c r="G61" i="3"/>
  <c r="D21" i="3"/>
  <c r="D22" i="3"/>
  <c r="G55" i="3"/>
  <c r="G28" i="3"/>
  <c r="C34" i="3"/>
  <c r="G22" i="3"/>
  <c r="C42" i="3"/>
  <c r="F48" i="3"/>
  <c r="C54" i="3"/>
  <c r="C44" i="3"/>
  <c r="D36" i="3"/>
  <c r="D56" i="3"/>
  <c r="G33" i="3"/>
  <c r="F33" i="3"/>
  <c r="G53" i="3"/>
  <c r="F53" i="3"/>
  <c r="D24" i="3"/>
  <c r="D34" i="3"/>
  <c r="G24" i="3"/>
  <c r="F32" i="3"/>
  <c r="F52" i="3"/>
  <c r="G42" i="3"/>
  <c r="F18" i="3"/>
  <c r="C33" i="3"/>
  <c r="F58" i="3"/>
  <c r="D23" i="3"/>
  <c r="G48" i="3"/>
  <c r="C21" i="3"/>
  <c r="C20" i="3"/>
  <c r="G30" i="3"/>
  <c r="C31" i="3"/>
  <c r="C30" i="3"/>
  <c r="C41" i="3"/>
  <c r="C40" i="3"/>
  <c r="G50" i="3"/>
  <c r="C51" i="3"/>
  <c r="C50" i="3"/>
  <c r="G60" i="3"/>
  <c r="C61" i="3"/>
  <c r="C60" i="3"/>
  <c r="G16" i="3"/>
  <c r="F21" i="3"/>
  <c r="D31" i="3"/>
  <c r="D41" i="3"/>
  <c r="D51" i="3"/>
  <c r="D61" i="3"/>
  <c r="F16" i="3"/>
  <c r="C11" i="3"/>
  <c r="D14" i="3"/>
  <c r="C10" i="3"/>
  <c r="F22" i="3"/>
  <c r="G44" i="3"/>
  <c r="G32" i="3"/>
  <c r="G14" i="3"/>
  <c r="F14" i="3"/>
  <c r="F13" i="3"/>
  <c r="G20" i="3"/>
  <c r="F28" i="3"/>
  <c r="F38" i="3"/>
  <c r="C43" i="3"/>
  <c r="C53" i="3"/>
  <c r="G13" i="3"/>
  <c r="G18" i="3"/>
  <c r="D33" i="3"/>
  <c r="G38" i="3"/>
  <c r="D43" i="3"/>
  <c r="G58" i="3"/>
  <c r="F9" i="3"/>
  <c r="D19" i="3"/>
  <c r="F31" i="3"/>
  <c r="D29" i="3"/>
  <c r="F41" i="3"/>
  <c r="D39" i="3"/>
  <c r="F51" i="3"/>
  <c r="D49" i="3"/>
  <c r="F61" i="3"/>
  <c r="D59" i="3"/>
  <c r="G26" i="3"/>
  <c r="G36" i="3"/>
  <c r="G46" i="3"/>
  <c r="G56" i="3"/>
  <c r="C6" i="3"/>
  <c r="D10" i="3"/>
  <c r="D17" i="3"/>
  <c r="D15" i="3"/>
  <c r="F19" i="3"/>
  <c r="C25" i="3"/>
  <c r="F29" i="3"/>
  <c r="C35" i="3"/>
  <c r="F39" i="3"/>
  <c r="C45" i="3"/>
  <c r="F49" i="3"/>
  <c r="C55" i="3"/>
  <c r="F59" i="3"/>
  <c r="G10" i="3"/>
  <c r="F10" i="3"/>
  <c r="G17" i="3"/>
  <c r="F17" i="3"/>
  <c r="D25" i="3"/>
  <c r="G29" i="3"/>
  <c r="D35" i="3"/>
  <c r="D45" i="3"/>
  <c r="G49" i="3"/>
  <c r="D55" i="3"/>
  <c r="C7" i="3"/>
  <c r="D11" i="3"/>
  <c r="D18" i="3"/>
  <c r="F15" i="3"/>
  <c r="D27" i="3"/>
  <c r="D37" i="3"/>
  <c r="D47" i="3"/>
  <c r="D57" i="3"/>
  <c r="F11" i="3"/>
  <c r="G15" i="3"/>
  <c r="G27" i="3"/>
  <c r="F27" i="3"/>
  <c r="F25" i="3"/>
  <c r="G37" i="3"/>
  <c r="F35" i="3"/>
  <c r="G47" i="3"/>
  <c r="F45" i="3"/>
  <c r="G57" i="3"/>
  <c r="F55" i="3"/>
  <c r="G11" i="3"/>
  <c r="D28" i="3"/>
  <c r="D38" i="3"/>
  <c r="D48" i="3"/>
  <c r="D58" i="3"/>
  <c r="G23" i="3"/>
  <c r="F23" i="3"/>
  <c r="D26" i="3"/>
  <c r="D46" i="3"/>
  <c r="G43" i="3"/>
  <c r="F43" i="3"/>
  <c r="D44" i="3"/>
  <c r="D54" i="3"/>
  <c r="G34" i="3"/>
  <c r="G54" i="3"/>
  <c r="G52" i="3"/>
  <c r="D13" i="3"/>
  <c r="C23" i="3"/>
  <c r="C9" i="3"/>
  <c r="D53" i="3"/>
  <c r="G40" i="3"/>
  <c r="C14" i="3"/>
  <c r="C16" i="3"/>
  <c r="C28" i="3"/>
  <c r="C27" i="3"/>
  <c r="C38" i="3"/>
  <c r="C37" i="3"/>
  <c r="C48" i="3"/>
  <c r="C47" i="3"/>
  <c r="C58" i="3"/>
  <c r="C57" i="3"/>
  <c r="C12" i="3"/>
  <c r="G21" i="3"/>
  <c r="C26" i="3"/>
  <c r="G31" i="3"/>
  <c r="C36" i="3"/>
  <c r="G41" i="3"/>
  <c r="C46" i="3"/>
  <c r="G51" i="3"/>
  <c r="C56" i="3"/>
  <c r="F20" i="3"/>
  <c r="F30" i="3"/>
  <c r="F40" i="3"/>
  <c r="F50" i="3"/>
  <c r="F60" i="3"/>
  <c r="F37" i="3"/>
  <c r="F47" i="3"/>
  <c r="F57" i="3"/>
  <c r="F24" i="3"/>
  <c r="F34" i="3"/>
  <c r="F44" i="3"/>
  <c r="F54" i="3"/>
  <c r="C46" i="2"/>
  <c r="G48" i="2"/>
  <c r="G28" i="2"/>
  <c r="G29" i="2"/>
  <c r="G49" i="2"/>
  <c r="G44" i="2"/>
  <c r="G24" i="2"/>
  <c r="G9" i="2"/>
  <c r="G43" i="2"/>
  <c r="G22" i="2"/>
  <c r="G21" i="2"/>
  <c r="G61" i="2"/>
  <c r="G41" i="2"/>
  <c r="G20" i="2"/>
  <c r="G60" i="2"/>
  <c r="G39" i="2"/>
  <c r="G19" i="2"/>
  <c r="G59" i="2"/>
  <c r="G38" i="2"/>
  <c r="G18" i="2"/>
  <c r="G58" i="2"/>
  <c r="G37" i="2"/>
  <c r="G17" i="2"/>
  <c r="G57" i="2"/>
  <c r="G36" i="2"/>
  <c r="G16" i="2"/>
  <c r="G56" i="2"/>
  <c r="G35" i="2"/>
  <c r="G15" i="2"/>
  <c r="G55" i="2"/>
  <c r="G34" i="2"/>
  <c r="G14" i="2"/>
  <c r="G54" i="2"/>
  <c r="G33" i="2"/>
  <c r="G13" i="2"/>
  <c r="G53" i="2"/>
  <c r="G32" i="2"/>
  <c r="G12" i="2"/>
  <c r="G52" i="2"/>
  <c r="G31" i="2"/>
  <c r="G11" i="2"/>
  <c r="G51" i="2"/>
  <c r="G30" i="2"/>
  <c r="G10" i="2"/>
  <c r="G50" i="2"/>
  <c r="G27" i="2"/>
  <c r="G47" i="2"/>
  <c r="G26" i="2"/>
  <c r="G46" i="2"/>
  <c r="G25" i="2"/>
  <c r="G45" i="2"/>
  <c r="G23" i="2"/>
  <c r="G42" i="2"/>
  <c r="G40" i="2"/>
  <c r="F10" i="2"/>
  <c r="F32" i="2"/>
  <c r="F12" i="2"/>
  <c r="F52" i="2"/>
  <c r="F31" i="2"/>
  <c r="F11" i="2"/>
  <c r="F51" i="2"/>
  <c r="F30" i="2"/>
  <c r="F50" i="2"/>
  <c r="F29" i="2"/>
  <c r="F39" i="2"/>
  <c r="F49" i="2"/>
  <c r="C20" i="2"/>
  <c r="C5" i="2"/>
  <c r="C45" i="2"/>
  <c r="F47" i="2"/>
  <c r="F26" i="2"/>
  <c r="F25" i="2"/>
  <c r="F45" i="2"/>
  <c r="F24" i="2"/>
  <c r="F44" i="2"/>
  <c r="F23" i="2"/>
  <c r="F43" i="2"/>
  <c r="F22" i="2"/>
  <c r="F42" i="2"/>
  <c r="F21" i="2"/>
  <c r="F61" i="2"/>
  <c r="F41" i="2"/>
  <c r="F20" i="2"/>
  <c r="F60" i="2"/>
  <c r="F40" i="2"/>
  <c r="F48" i="2"/>
  <c r="F19" i="2"/>
  <c r="F37" i="2"/>
  <c r="F35" i="2"/>
  <c r="F15" i="2"/>
  <c r="F34" i="2"/>
  <c r="F14" i="2"/>
  <c r="F54" i="2"/>
  <c r="F28" i="2"/>
  <c r="F27" i="2"/>
  <c r="F46" i="2"/>
  <c r="F9" i="2"/>
  <c r="F59" i="2"/>
  <c r="F16" i="2"/>
  <c r="F56" i="2"/>
  <c r="F36" i="2"/>
  <c r="F55" i="2"/>
  <c r="F33" i="2"/>
  <c r="F13" i="2"/>
  <c r="F53" i="2"/>
  <c r="C7" i="2"/>
  <c r="C47" i="2"/>
  <c r="F58" i="2"/>
  <c r="F18" i="2"/>
  <c r="F57" i="2"/>
  <c r="F17" i="2"/>
  <c r="F38" i="2"/>
  <c r="C32" i="2"/>
  <c r="C39" i="2"/>
  <c r="C28" i="2"/>
  <c r="C48" i="2"/>
  <c r="C9" i="2"/>
  <c r="C13" i="2"/>
  <c r="C53" i="2"/>
  <c r="C34" i="2"/>
  <c r="C54" i="2"/>
  <c r="D33" i="2"/>
  <c r="D53" i="2"/>
  <c r="D34" i="2"/>
  <c r="D54" i="2"/>
  <c r="D37" i="2"/>
  <c r="D18" i="2"/>
  <c r="D19" i="2"/>
  <c r="D39" i="2"/>
  <c r="D20" i="2"/>
  <c r="D40" i="2"/>
  <c r="C56" i="2"/>
  <c r="C8" i="2"/>
  <c r="D48" i="2"/>
  <c r="D9" i="2"/>
  <c r="D23" i="2"/>
  <c r="C21" i="2"/>
  <c r="C60" i="2"/>
  <c r="C61" i="2"/>
  <c r="C42" i="2"/>
  <c r="D28" i="2"/>
  <c r="C15" i="2"/>
  <c r="C16" i="2"/>
  <c r="C51" i="2"/>
  <c r="D26" i="2"/>
  <c r="C35" i="2"/>
  <c r="D27" i="2"/>
  <c r="D59" i="2"/>
  <c r="D13" i="2"/>
  <c r="C36" i="2"/>
  <c r="D60" i="2"/>
  <c r="D14" i="2"/>
  <c r="C25" i="2"/>
  <c r="C40" i="2"/>
  <c r="C29" i="2"/>
  <c r="D21" i="2"/>
  <c r="C49" i="2"/>
  <c r="D41" i="2"/>
  <c r="C22" i="2"/>
  <c r="D45" i="2"/>
  <c r="D61" i="2"/>
  <c r="C26" i="2"/>
  <c r="D46" i="2"/>
  <c r="C55" i="2"/>
  <c r="D11" i="2"/>
  <c r="C27" i="2"/>
  <c r="D47" i="2"/>
  <c r="C57" i="2"/>
  <c r="D22" i="2"/>
  <c r="D42" i="2"/>
  <c r="C17" i="2"/>
  <c r="D30" i="2"/>
  <c r="D50" i="2"/>
  <c r="C44" i="2"/>
  <c r="C11" i="2"/>
  <c r="D24" i="2"/>
  <c r="D44" i="2"/>
  <c r="D51" i="2"/>
  <c r="C52" i="2"/>
  <c r="C43" i="2"/>
  <c r="D17" i="2"/>
  <c r="D58" i="2"/>
  <c r="D25" i="2"/>
  <c r="D52" i="2"/>
  <c r="D29" i="2"/>
  <c r="D36" i="2"/>
  <c r="C50" i="2"/>
  <c r="C38" i="2"/>
  <c r="C12" i="2"/>
  <c r="D15" i="2"/>
  <c r="D35" i="2"/>
  <c r="D49" i="2"/>
  <c r="D16" i="2"/>
  <c r="C23" i="2"/>
  <c r="D56" i="2"/>
  <c r="C10" i="2"/>
  <c r="C30" i="2"/>
  <c r="D43" i="2"/>
  <c r="C37" i="2"/>
  <c r="C24" i="2"/>
  <c r="D57" i="2"/>
  <c r="C18" i="2"/>
  <c r="D31" i="2"/>
  <c r="C58" i="2"/>
  <c r="D38" i="2"/>
  <c r="D12" i="2"/>
  <c r="C19" i="2"/>
  <c r="C59" i="2"/>
  <c r="C33" i="2"/>
  <c r="C14" i="2"/>
  <c r="C41" i="2"/>
  <c r="D55" i="2"/>
  <c r="D10" i="2"/>
  <c r="C31" i="2"/>
  <c r="D32" i="2"/>
  <c r="D61" i="1"/>
  <c r="D54" i="1"/>
  <c r="D33" i="1"/>
  <c r="D13" i="1"/>
  <c r="D47" i="1"/>
  <c r="C61" i="1"/>
  <c r="C60" i="1"/>
  <c r="C59" i="1"/>
  <c r="D44" i="1"/>
  <c r="D43" i="1"/>
  <c r="D42" i="1"/>
  <c r="D41" i="1"/>
  <c r="D21" i="1"/>
  <c r="D40" i="1"/>
  <c r="D20" i="1"/>
  <c r="D60" i="1"/>
  <c r="D39" i="1"/>
  <c r="D19" i="1"/>
  <c r="D38" i="1"/>
  <c r="D18" i="1"/>
  <c r="D58" i="1"/>
  <c r="D37" i="1"/>
  <c r="D17" i="1"/>
  <c r="D57" i="1"/>
  <c r="D34" i="1"/>
  <c r="D14" i="1"/>
  <c r="D53" i="1"/>
  <c r="D32" i="1"/>
  <c r="D12" i="1"/>
  <c r="D52" i="1"/>
  <c r="D31" i="1"/>
  <c r="D11" i="1"/>
  <c r="D51" i="1"/>
  <c r="C25" i="1"/>
  <c r="D9" i="1"/>
  <c r="C45" i="1"/>
  <c r="D29" i="1"/>
  <c r="C44" i="1"/>
  <c r="D48" i="1"/>
  <c r="C23" i="1"/>
  <c r="D27" i="1"/>
  <c r="C42" i="1"/>
  <c r="C22" i="1"/>
  <c r="C40" i="1"/>
  <c r="D46" i="1"/>
  <c r="D26" i="1"/>
  <c r="C41" i="1"/>
  <c r="C21" i="1"/>
  <c r="C39" i="1"/>
  <c r="D45" i="1"/>
  <c r="D25" i="1"/>
  <c r="C20" i="1"/>
  <c r="C38" i="1"/>
  <c r="D24" i="1"/>
  <c r="C19" i="1"/>
  <c r="C33" i="1"/>
  <c r="D23" i="1"/>
  <c r="C58" i="1"/>
  <c r="C18" i="1"/>
  <c r="C13" i="1"/>
  <c r="D22" i="1"/>
  <c r="C53" i="1"/>
  <c r="D59" i="1"/>
  <c r="D49" i="1"/>
  <c r="C24" i="1"/>
  <c r="D28" i="1"/>
  <c r="C43" i="1"/>
  <c r="C52" i="1"/>
  <c r="C32" i="1"/>
  <c r="C12" i="1"/>
  <c r="D56" i="1"/>
  <c r="D36" i="1"/>
  <c r="D16" i="1"/>
  <c r="C51" i="1"/>
  <c r="C31" i="1"/>
  <c r="C11" i="1"/>
  <c r="D55" i="1"/>
  <c r="D35" i="1"/>
  <c r="D15" i="1"/>
  <c r="C46" i="1"/>
  <c r="C26" i="1"/>
  <c r="C6" i="1"/>
  <c r="D50" i="1"/>
  <c r="D30" i="1"/>
  <c r="D10" i="1"/>
  <c r="C30" i="1"/>
  <c r="C49" i="1"/>
  <c r="C9" i="1"/>
  <c r="C8" i="1"/>
  <c r="C47" i="1"/>
  <c r="C27" i="1"/>
  <c r="C50" i="1"/>
  <c r="C10" i="1"/>
  <c r="C29" i="1"/>
  <c r="C48" i="1"/>
  <c r="C28" i="1"/>
  <c r="C7" i="1"/>
  <c r="C57" i="1"/>
  <c r="C37" i="1"/>
  <c r="C17" i="1"/>
  <c r="C56" i="1"/>
  <c r="C36" i="1"/>
  <c r="C16" i="1"/>
  <c r="C55" i="1"/>
  <c r="C35" i="1"/>
  <c r="C15" i="1"/>
  <c r="C54" i="1"/>
  <c r="C34" i="1"/>
  <c r="C14" i="1"/>
  <c r="C5" i="1"/>
  <c r="I36" i="3" l="1"/>
  <c r="J37" i="3" l="1"/>
  <c r="I38" i="3"/>
  <c r="I37" i="3"/>
  <c r="J38" i="3" l="1"/>
  <c r="J39" i="3" l="1"/>
  <c r="I39" i="3"/>
  <c r="J40" i="3" l="1"/>
  <c r="I40" i="3"/>
  <c r="I41" i="3" l="1"/>
  <c r="J41" i="3"/>
  <c r="J42" i="3" l="1"/>
  <c r="I42" i="3"/>
  <c r="J43" i="3" l="1"/>
  <c r="I43" i="3"/>
  <c r="J44" i="3" l="1"/>
  <c r="I44" i="3"/>
  <c r="J45" i="3" l="1"/>
  <c r="I45" i="3"/>
  <c r="J46" i="3" l="1"/>
  <c r="H46" i="3"/>
  <c r="I46" i="3"/>
  <c r="J47" i="3" l="1"/>
  <c r="I47" i="3"/>
  <c r="J48" i="3" l="1"/>
  <c r="I48" i="3"/>
  <c r="J49" i="3" l="1"/>
  <c r="I49" i="3"/>
  <c r="J50" i="3" l="1"/>
  <c r="I50" i="3"/>
  <c r="J51" i="3" l="1"/>
  <c r="I51" i="3"/>
  <c r="J52" i="3" l="1"/>
  <c r="I52" i="3"/>
  <c r="J53" i="3" l="1"/>
  <c r="I53" i="3"/>
  <c r="J54" i="3" l="1"/>
  <c r="I54" i="3"/>
  <c r="J55" i="3" l="1"/>
  <c r="I55" i="3"/>
  <c r="J56" i="3" l="1"/>
  <c r="J57" i="3"/>
  <c r="I56" i="3"/>
  <c r="J58" i="3" l="1"/>
  <c r="I57" i="3"/>
  <c r="I58" i="3" l="1"/>
  <c r="J59" i="3" l="1"/>
  <c r="I59" i="3"/>
  <c r="J61" i="3" l="1"/>
  <c r="J60" i="3"/>
  <c r="I60" i="3"/>
  <c r="I61" i="3" l="1"/>
</calcChain>
</file>

<file path=xl/sharedStrings.xml><?xml version="1.0" encoding="utf-8"?>
<sst xmlns="http://schemas.openxmlformats.org/spreadsheetml/2006/main" count="33" uniqueCount="12">
  <si>
    <t>Day</t>
  </si>
  <si>
    <t>Raw_Noisy_values</t>
  </si>
  <si>
    <t>Rolling_Mean_3D</t>
  </si>
  <si>
    <t>Rolling_Mean_7D</t>
  </si>
  <si>
    <t>Market_Regime_Value</t>
  </si>
  <si>
    <t>Rolling_StdDev_7D</t>
  </si>
  <si>
    <t>Rolling_Mean_7D_StdDev</t>
  </si>
  <si>
    <t>Trend_With_Breakout</t>
  </si>
  <si>
    <t>Rolling_Min_10D</t>
  </si>
  <si>
    <t>Rolling_Max_10D</t>
  </si>
  <si>
    <t>Daily_Volume</t>
  </si>
  <si>
    <t>Rolling_Sum_7D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</si>
</sst>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Denoisin /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951912260967382E-2"/>
          <c:y val="7.2962126912465522E-2"/>
          <c:w val="0.94117688413948253"/>
          <c:h val="0.79141362972969231"/>
        </c:manualLayout>
      </c:layout>
      <c:lineChart>
        <c:grouping val="standard"/>
        <c:varyColors val="0"/>
        <c:ser>
          <c:idx val="0"/>
          <c:order val="0"/>
          <c:tx>
            <c:strRef>
              <c:f>Denoising!$A$1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Denoising!$A$2:$A$61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9-4481-B9FD-F75B5DF32868}"/>
            </c:ext>
          </c:extLst>
        </c:ser>
        <c:ser>
          <c:idx val="1"/>
          <c:order val="1"/>
          <c:tx>
            <c:strRef>
              <c:f>Denoising!$B$1</c:f>
              <c:strCache>
                <c:ptCount val="1"/>
                <c:pt idx="0">
                  <c:v>Raw_Noisy_values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Denoising!$B$2:$B$61</c:f>
              <c:numCache>
                <c:formatCode>General</c:formatCode>
                <c:ptCount val="60"/>
                <c:pt idx="0">
                  <c:v>42.8</c:v>
                </c:pt>
                <c:pt idx="1">
                  <c:v>48.6</c:v>
                </c:pt>
                <c:pt idx="2">
                  <c:v>57.4</c:v>
                </c:pt>
                <c:pt idx="3">
                  <c:v>50.2</c:v>
                </c:pt>
                <c:pt idx="4">
                  <c:v>54</c:v>
                </c:pt>
                <c:pt idx="5">
                  <c:v>53.8</c:v>
                </c:pt>
                <c:pt idx="6">
                  <c:v>61.6</c:v>
                </c:pt>
                <c:pt idx="7">
                  <c:v>62.4</c:v>
                </c:pt>
                <c:pt idx="8">
                  <c:v>64.2</c:v>
                </c:pt>
                <c:pt idx="9">
                  <c:v>55</c:v>
                </c:pt>
                <c:pt idx="10">
                  <c:v>57.8</c:v>
                </c:pt>
                <c:pt idx="11">
                  <c:v>56.6</c:v>
                </c:pt>
                <c:pt idx="12">
                  <c:v>64.400000000000006</c:v>
                </c:pt>
                <c:pt idx="13">
                  <c:v>58.2</c:v>
                </c:pt>
                <c:pt idx="14">
                  <c:v>62</c:v>
                </c:pt>
                <c:pt idx="15">
                  <c:v>69.8</c:v>
                </c:pt>
                <c:pt idx="16">
                  <c:v>59.6</c:v>
                </c:pt>
                <c:pt idx="17">
                  <c:v>57.400000000000006</c:v>
                </c:pt>
                <c:pt idx="18">
                  <c:v>64.2</c:v>
                </c:pt>
                <c:pt idx="19">
                  <c:v>60</c:v>
                </c:pt>
                <c:pt idx="20">
                  <c:v>62.8</c:v>
                </c:pt>
                <c:pt idx="21">
                  <c:v>68.599999999999994</c:v>
                </c:pt>
                <c:pt idx="22">
                  <c:v>64.400000000000006</c:v>
                </c:pt>
                <c:pt idx="23">
                  <c:v>75.2</c:v>
                </c:pt>
                <c:pt idx="24">
                  <c:v>75</c:v>
                </c:pt>
                <c:pt idx="25">
                  <c:v>77.8</c:v>
                </c:pt>
                <c:pt idx="26">
                  <c:v>70.599999999999994</c:v>
                </c:pt>
                <c:pt idx="27">
                  <c:v>67.400000000000006</c:v>
                </c:pt>
                <c:pt idx="28">
                  <c:v>78.2</c:v>
                </c:pt>
                <c:pt idx="29">
                  <c:v>67</c:v>
                </c:pt>
                <c:pt idx="30">
                  <c:v>67.8</c:v>
                </c:pt>
                <c:pt idx="31">
                  <c:v>76.599999999999994</c:v>
                </c:pt>
                <c:pt idx="32">
                  <c:v>84.4</c:v>
                </c:pt>
                <c:pt idx="33">
                  <c:v>80.2</c:v>
                </c:pt>
                <c:pt idx="34">
                  <c:v>70</c:v>
                </c:pt>
                <c:pt idx="35">
                  <c:v>71.8</c:v>
                </c:pt>
                <c:pt idx="36">
                  <c:v>76.599999999999994</c:v>
                </c:pt>
                <c:pt idx="37">
                  <c:v>86.4</c:v>
                </c:pt>
                <c:pt idx="38">
                  <c:v>77.2</c:v>
                </c:pt>
                <c:pt idx="39">
                  <c:v>87</c:v>
                </c:pt>
                <c:pt idx="40">
                  <c:v>85.800000000000011</c:v>
                </c:pt>
                <c:pt idx="41">
                  <c:v>86.6</c:v>
                </c:pt>
                <c:pt idx="42">
                  <c:v>91.4</c:v>
                </c:pt>
                <c:pt idx="43">
                  <c:v>88.2</c:v>
                </c:pt>
                <c:pt idx="44">
                  <c:v>80</c:v>
                </c:pt>
                <c:pt idx="45">
                  <c:v>81.800000000000011</c:v>
                </c:pt>
                <c:pt idx="46">
                  <c:v>83.6</c:v>
                </c:pt>
                <c:pt idx="47">
                  <c:v>85.4</c:v>
                </c:pt>
                <c:pt idx="48">
                  <c:v>97.2</c:v>
                </c:pt>
                <c:pt idx="49">
                  <c:v>94</c:v>
                </c:pt>
                <c:pt idx="50">
                  <c:v>95.800000000000011</c:v>
                </c:pt>
                <c:pt idx="51">
                  <c:v>91.6</c:v>
                </c:pt>
                <c:pt idx="52">
                  <c:v>95.4</c:v>
                </c:pt>
                <c:pt idx="53">
                  <c:v>90.2</c:v>
                </c:pt>
                <c:pt idx="54">
                  <c:v>96</c:v>
                </c:pt>
                <c:pt idx="55">
                  <c:v>98.800000000000011</c:v>
                </c:pt>
                <c:pt idx="56">
                  <c:v>91.6</c:v>
                </c:pt>
                <c:pt idx="57">
                  <c:v>98.4</c:v>
                </c:pt>
                <c:pt idx="58">
                  <c:v>91.2</c:v>
                </c:pt>
                <c:pt idx="5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9-4481-B9FD-F75B5DF32868}"/>
            </c:ext>
          </c:extLst>
        </c:ser>
        <c:ser>
          <c:idx val="2"/>
          <c:order val="2"/>
          <c:tx>
            <c:strRef>
              <c:f>Denoising!$C$1</c:f>
              <c:strCache>
                <c:ptCount val="1"/>
                <c:pt idx="0">
                  <c:v>Rolling_Mean_3D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Denoising!$C$2:$C$61</c:f>
              <c:numCache>
                <c:formatCode>General</c:formatCode>
                <c:ptCount val="60"/>
                <c:pt idx="3">
                  <c:v>49.6</c:v>
                </c:pt>
                <c:pt idx="4">
                  <c:v>52.066666666666663</c:v>
                </c:pt>
                <c:pt idx="5">
                  <c:v>53.866666666666667</c:v>
                </c:pt>
                <c:pt idx="6">
                  <c:v>52.666666666666664</c:v>
                </c:pt>
                <c:pt idx="7">
                  <c:v>56.466666666666669</c:v>
                </c:pt>
                <c:pt idx="8">
                  <c:v>59.266666666666673</c:v>
                </c:pt>
                <c:pt idx="9">
                  <c:v>62.733333333333327</c:v>
                </c:pt>
                <c:pt idx="10">
                  <c:v>60.533333333333331</c:v>
                </c:pt>
                <c:pt idx="11">
                  <c:v>59</c:v>
                </c:pt>
                <c:pt idx="12">
                  <c:v>56.466666666666669</c:v>
                </c:pt>
                <c:pt idx="13">
                  <c:v>59.6</c:v>
                </c:pt>
                <c:pt idx="14">
                  <c:v>59.733333333333327</c:v>
                </c:pt>
                <c:pt idx="15">
                  <c:v>61.533333333333339</c:v>
                </c:pt>
                <c:pt idx="16">
                  <c:v>63.333333333333336</c:v>
                </c:pt>
                <c:pt idx="17">
                  <c:v>63.800000000000004</c:v>
                </c:pt>
                <c:pt idx="18">
                  <c:v>62.266666666666673</c:v>
                </c:pt>
                <c:pt idx="19">
                  <c:v>60.4</c:v>
                </c:pt>
                <c:pt idx="20">
                  <c:v>60.533333333333339</c:v>
                </c:pt>
                <c:pt idx="21">
                  <c:v>62.333333333333336</c:v>
                </c:pt>
                <c:pt idx="22">
                  <c:v>63.79999999999999</c:v>
                </c:pt>
                <c:pt idx="23">
                  <c:v>65.266666666666666</c:v>
                </c:pt>
                <c:pt idx="24">
                  <c:v>69.399999999999991</c:v>
                </c:pt>
                <c:pt idx="25">
                  <c:v>71.533333333333346</c:v>
                </c:pt>
                <c:pt idx="26">
                  <c:v>76</c:v>
                </c:pt>
                <c:pt idx="27">
                  <c:v>74.466666666666669</c:v>
                </c:pt>
                <c:pt idx="28">
                  <c:v>71.933333333333323</c:v>
                </c:pt>
                <c:pt idx="29">
                  <c:v>72.066666666666663</c:v>
                </c:pt>
                <c:pt idx="30">
                  <c:v>70.866666666666674</c:v>
                </c:pt>
                <c:pt idx="31">
                  <c:v>71</c:v>
                </c:pt>
                <c:pt idx="32">
                  <c:v>70.466666666666669</c:v>
                </c:pt>
                <c:pt idx="33">
                  <c:v>76.266666666666666</c:v>
                </c:pt>
                <c:pt idx="34">
                  <c:v>80.399999999999991</c:v>
                </c:pt>
                <c:pt idx="35">
                  <c:v>78.2</c:v>
                </c:pt>
                <c:pt idx="36">
                  <c:v>74</c:v>
                </c:pt>
                <c:pt idx="37">
                  <c:v>72.8</c:v>
                </c:pt>
                <c:pt idx="38">
                  <c:v>78.266666666666666</c:v>
                </c:pt>
                <c:pt idx="39">
                  <c:v>80.066666666666663</c:v>
                </c:pt>
                <c:pt idx="40">
                  <c:v>83.533333333333346</c:v>
                </c:pt>
                <c:pt idx="41">
                  <c:v>83.333333333333329</c:v>
                </c:pt>
                <c:pt idx="42">
                  <c:v>86.466666666666654</c:v>
                </c:pt>
                <c:pt idx="43">
                  <c:v>87.933333333333337</c:v>
                </c:pt>
                <c:pt idx="44">
                  <c:v>88.733333333333334</c:v>
                </c:pt>
                <c:pt idx="45">
                  <c:v>86.533333333333346</c:v>
                </c:pt>
                <c:pt idx="46">
                  <c:v>83.333333333333329</c:v>
                </c:pt>
                <c:pt idx="47">
                  <c:v>81.8</c:v>
                </c:pt>
                <c:pt idx="48">
                  <c:v>83.600000000000009</c:v>
                </c:pt>
                <c:pt idx="49">
                  <c:v>88.733333333333334</c:v>
                </c:pt>
                <c:pt idx="50">
                  <c:v>92.2</c:v>
                </c:pt>
                <c:pt idx="51">
                  <c:v>95.666666666666671</c:v>
                </c:pt>
                <c:pt idx="52">
                  <c:v>93.8</c:v>
                </c:pt>
                <c:pt idx="53">
                  <c:v>94.266666666666666</c:v>
                </c:pt>
                <c:pt idx="54">
                  <c:v>92.399999999999991</c:v>
                </c:pt>
                <c:pt idx="55">
                  <c:v>93.866666666666674</c:v>
                </c:pt>
                <c:pt idx="56">
                  <c:v>95</c:v>
                </c:pt>
                <c:pt idx="57">
                  <c:v>95.466666666666654</c:v>
                </c:pt>
                <c:pt idx="58">
                  <c:v>96.266666666666666</c:v>
                </c:pt>
                <c:pt idx="59">
                  <c:v>93.733333333333334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9-4481-B9FD-F75B5DF32868}"/>
            </c:ext>
          </c:extLst>
        </c:ser>
        <c:ser>
          <c:idx val="3"/>
          <c:order val="3"/>
          <c:tx>
            <c:strRef>
              <c:f>Denoising!$D$1</c:f>
              <c:strCache>
                <c:ptCount val="1"/>
                <c:pt idx="0">
                  <c:v>Rolling_Mean_7D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Denoising!$D$2:$D$61</c:f>
              <c:numCache>
                <c:formatCode>General</c:formatCode>
                <c:ptCount val="60"/>
                <c:pt idx="7">
                  <c:v>52.628571428571433</c:v>
                </c:pt>
                <c:pt idx="8">
                  <c:v>55.428571428571431</c:v>
                </c:pt>
                <c:pt idx="9">
                  <c:v>57.657142857142851</c:v>
                </c:pt>
                <c:pt idx="10">
                  <c:v>57.31428571428571</c:v>
                </c:pt>
                <c:pt idx="11">
                  <c:v>58.4</c:v>
                </c:pt>
                <c:pt idx="12">
                  <c:v>58.771428571428579</c:v>
                </c:pt>
                <c:pt idx="13">
                  <c:v>60.285714285714285</c:v>
                </c:pt>
                <c:pt idx="14">
                  <c:v>59.8</c:v>
                </c:pt>
                <c:pt idx="15">
                  <c:v>59.74285714285714</c:v>
                </c:pt>
                <c:pt idx="16">
                  <c:v>60.542857142857144</c:v>
                </c:pt>
                <c:pt idx="17">
                  <c:v>61.2</c:v>
                </c:pt>
                <c:pt idx="18">
                  <c:v>61.142857142857146</c:v>
                </c:pt>
                <c:pt idx="19">
                  <c:v>62.228571428571442</c:v>
                </c:pt>
                <c:pt idx="20">
                  <c:v>61.6</c:v>
                </c:pt>
                <c:pt idx="21">
                  <c:v>62.25714285714286</c:v>
                </c:pt>
                <c:pt idx="22">
                  <c:v>63.199999999999996</c:v>
                </c:pt>
                <c:pt idx="23">
                  <c:v>62.428571428571431</c:v>
                </c:pt>
                <c:pt idx="24">
                  <c:v>64.657142857142858</c:v>
                </c:pt>
                <c:pt idx="25">
                  <c:v>67.171428571428564</c:v>
                </c:pt>
                <c:pt idx="26">
                  <c:v>69.114285714285714</c:v>
                </c:pt>
                <c:pt idx="27">
                  <c:v>70.628571428571419</c:v>
                </c:pt>
                <c:pt idx="28">
                  <c:v>71.285714285714292</c:v>
                </c:pt>
                <c:pt idx="29">
                  <c:v>72.657142857142858</c:v>
                </c:pt>
                <c:pt idx="30">
                  <c:v>73.028571428571425</c:v>
                </c:pt>
                <c:pt idx="31">
                  <c:v>71.971428571428575</c:v>
                </c:pt>
                <c:pt idx="32">
                  <c:v>72.2</c:v>
                </c:pt>
                <c:pt idx="33">
                  <c:v>73.142857142857139</c:v>
                </c:pt>
                <c:pt idx="34">
                  <c:v>74.51428571428572</c:v>
                </c:pt>
                <c:pt idx="35">
                  <c:v>74.885714285714286</c:v>
                </c:pt>
                <c:pt idx="36">
                  <c:v>73.971428571428561</c:v>
                </c:pt>
                <c:pt idx="37">
                  <c:v>75.342857142857142</c:v>
                </c:pt>
                <c:pt idx="38">
                  <c:v>78</c:v>
                </c:pt>
                <c:pt idx="39">
                  <c:v>78.085714285714289</c:v>
                </c:pt>
                <c:pt idx="40">
                  <c:v>78.45714285714287</c:v>
                </c:pt>
                <c:pt idx="41">
                  <c:v>79.257142857142853</c:v>
                </c:pt>
                <c:pt idx="42">
                  <c:v>81.628571428571419</c:v>
                </c:pt>
                <c:pt idx="43">
                  <c:v>84.428571428571431</c:v>
                </c:pt>
                <c:pt idx="44">
                  <c:v>86.085714285714289</c:v>
                </c:pt>
                <c:pt idx="45">
                  <c:v>85.171428571428578</c:v>
                </c:pt>
                <c:pt idx="46">
                  <c:v>85.828571428571422</c:v>
                </c:pt>
                <c:pt idx="47">
                  <c:v>85.342857142857142</c:v>
                </c:pt>
                <c:pt idx="48">
                  <c:v>85.285714285714292</c:v>
                </c:pt>
                <c:pt idx="49">
                  <c:v>86.8</c:v>
                </c:pt>
                <c:pt idx="50">
                  <c:v>87.171428571428578</c:v>
                </c:pt>
                <c:pt idx="51">
                  <c:v>88.257142857142853</c:v>
                </c:pt>
                <c:pt idx="52">
                  <c:v>89.914285714285711</c:v>
                </c:pt>
                <c:pt idx="53">
                  <c:v>91.857142857142861</c:v>
                </c:pt>
                <c:pt idx="54">
                  <c:v>92.8</c:v>
                </c:pt>
                <c:pt idx="55">
                  <c:v>94.314285714285717</c:v>
                </c:pt>
                <c:pt idx="56">
                  <c:v>94.54285714285713</c:v>
                </c:pt>
                <c:pt idx="57">
                  <c:v>94.2</c:v>
                </c:pt>
                <c:pt idx="58">
                  <c:v>94.571428571428569</c:v>
                </c:pt>
                <c:pt idx="59">
                  <c:v>94.51428571428572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9-4481-B9FD-F75B5DF32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791856"/>
        <c:axId val="801731312"/>
      </c:lineChart>
      <c:catAx>
        <c:axId val="861791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31312"/>
        <c:crosses val="autoZero"/>
        <c:auto val="1"/>
        <c:lblAlgn val="ctr"/>
        <c:lblOffset val="100"/>
        <c:noMultiLvlLbl val="0"/>
      </c:catAx>
      <c:valAx>
        <c:axId val="8017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9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Regime</a:t>
            </a:r>
            <a:r>
              <a:rPr lang="en-IN" baseline="0"/>
              <a:t> Change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RollingSDAndRegimeShifts!$E$1</c:f>
              <c:strCache>
                <c:ptCount val="1"/>
                <c:pt idx="0">
                  <c:v>Market_Regime_Value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RollingSDAndRegimeShifts!$E$2:$E$61</c:f>
              <c:numCache>
                <c:formatCode>General</c:formatCode>
                <c:ptCount val="60"/>
                <c:pt idx="0">
                  <c:v>98</c:v>
                </c:pt>
                <c:pt idx="1">
                  <c:v>100</c:v>
                </c:pt>
                <c:pt idx="2">
                  <c:v>102</c:v>
                </c:pt>
                <c:pt idx="3">
                  <c:v>98</c:v>
                </c:pt>
                <c:pt idx="4">
                  <c:v>99</c:v>
                </c:pt>
                <c:pt idx="5">
                  <c:v>102</c:v>
                </c:pt>
                <c:pt idx="6">
                  <c:v>98</c:v>
                </c:pt>
                <c:pt idx="7">
                  <c:v>101</c:v>
                </c:pt>
                <c:pt idx="8">
                  <c:v>102</c:v>
                </c:pt>
                <c:pt idx="9">
                  <c:v>101</c:v>
                </c:pt>
                <c:pt idx="10">
                  <c:v>102</c:v>
                </c:pt>
                <c:pt idx="11">
                  <c:v>99</c:v>
                </c:pt>
                <c:pt idx="12">
                  <c:v>102</c:v>
                </c:pt>
                <c:pt idx="13">
                  <c:v>100</c:v>
                </c:pt>
                <c:pt idx="14">
                  <c:v>99</c:v>
                </c:pt>
                <c:pt idx="15">
                  <c:v>101</c:v>
                </c:pt>
                <c:pt idx="16">
                  <c:v>99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102</c:v>
                </c:pt>
                <c:pt idx="21">
                  <c:v>98</c:v>
                </c:pt>
                <c:pt idx="22">
                  <c:v>99</c:v>
                </c:pt>
                <c:pt idx="23">
                  <c:v>102</c:v>
                </c:pt>
                <c:pt idx="24">
                  <c:v>102</c:v>
                </c:pt>
                <c:pt idx="25">
                  <c:v>98</c:v>
                </c:pt>
                <c:pt idx="26">
                  <c:v>100</c:v>
                </c:pt>
                <c:pt idx="27">
                  <c:v>101</c:v>
                </c:pt>
                <c:pt idx="28">
                  <c:v>99</c:v>
                </c:pt>
                <c:pt idx="29">
                  <c:v>98</c:v>
                </c:pt>
                <c:pt idx="30">
                  <c:v>82</c:v>
                </c:pt>
                <c:pt idx="31">
                  <c:v>111</c:v>
                </c:pt>
                <c:pt idx="32">
                  <c:v>93</c:v>
                </c:pt>
                <c:pt idx="33">
                  <c:v>99</c:v>
                </c:pt>
                <c:pt idx="34">
                  <c:v>111</c:v>
                </c:pt>
                <c:pt idx="35">
                  <c:v>82</c:v>
                </c:pt>
                <c:pt idx="36">
                  <c:v>99</c:v>
                </c:pt>
                <c:pt idx="37">
                  <c:v>87</c:v>
                </c:pt>
                <c:pt idx="38">
                  <c:v>110</c:v>
                </c:pt>
                <c:pt idx="39">
                  <c:v>102</c:v>
                </c:pt>
                <c:pt idx="40">
                  <c:v>84</c:v>
                </c:pt>
                <c:pt idx="41">
                  <c:v>112</c:v>
                </c:pt>
                <c:pt idx="42">
                  <c:v>101</c:v>
                </c:pt>
                <c:pt idx="43">
                  <c:v>87</c:v>
                </c:pt>
                <c:pt idx="44">
                  <c:v>108</c:v>
                </c:pt>
                <c:pt idx="45">
                  <c:v>95</c:v>
                </c:pt>
                <c:pt idx="46">
                  <c:v>108</c:v>
                </c:pt>
                <c:pt idx="47">
                  <c:v>114</c:v>
                </c:pt>
                <c:pt idx="48">
                  <c:v>84</c:v>
                </c:pt>
                <c:pt idx="49">
                  <c:v>95</c:v>
                </c:pt>
                <c:pt idx="50">
                  <c:v>109</c:v>
                </c:pt>
                <c:pt idx="51">
                  <c:v>89</c:v>
                </c:pt>
                <c:pt idx="52">
                  <c:v>93</c:v>
                </c:pt>
                <c:pt idx="53">
                  <c:v>87</c:v>
                </c:pt>
                <c:pt idx="54">
                  <c:v>103</c:v>
                </c:pt>
                <c:pt idx="55">
                  <c:v>111</c:v>
                </c:pt>
                <c:pt idx="56">
                  <c:v>105</c:v>
                </c:pt>
                <c:pt idx="57">
                  <c:v>93</c:v>
                </c:pt>
                <c:pt idx="58">
                  <c:v>90</c:v>
                </c:pt>
                <c:pt idx="59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8-40D4-92EC-6E1E608277D1}"/>
            </c:ext>
          </c:extLst>
        </c:ser>
        <c:ser>
          <c:idx val="1"/>
          <c:order val="1"/>
          <c:tx>
            <c:strRef>
              <c:f>RollingSDAndRegimeShifts!$F$1</c:f>
              <c:strCache>
                <c:ptCount val="1"/>
                <c:pt idx="0">
                  <c:v>Rolling_StdDev_7D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RollingSDAndRegimeShifts!$F$2:$F$61</c:f>
              <c:numCache>
                <c:formatCode>General</c:formatCode>
                <c:ptCount val="60"/>
                <c:pt idx="7">
                  <c:v>1.8126539343499313</c:v>
                </c:pt>
                <c:pt idx="8">
                  <c:v>1.7320508075688772</c:v>
                </c:pt>
                <c:pt idx="9">
                  <c:v>1.8898223650461361</c:v>
                </c:pt>
                <c:pt idx="10">
                  <c:v>1.7728105208558367</c:v>
                </c:pt>
                <c:pt idx="11">
                  <c:v>1.6035674514745462</c:v>
                </c:pt>
                <c:pt idx="12">
                  <c:v>1.6035674514745462</c:v>
                </c:pt>
                <c:pt idx="13">
                  <c:v>1.6035674514745462</c:v>
                </c:pt>
                <c:pt idx="14">
                  <c:v>1.1547005383792515</c:v>
                </c:pt>
                <c:pt idx="15">
                  <c:v>1.3801311186847083</c:v>
                </c:pt>
                <c:pt idx="16">
                  <c:v>1.2724180205607034</c:v>
                </c:pt>
                <c:pt idx="17">
                  <c:v>1.3801311186847083</c:v>
                </c:pt>
                <c:pt idx="18">
                  <c:v>1.2149857925879117</c:v>
                </c:pt>
                <c:pt idx="19">
                  <c:v>1.1338934190276817</c:v>
                </c:pt>
                <c:pt idx="20">
                  <c:v>0.95118973121134187</c:v>
                </c:pt>
                <c:pt idx="21">
                  <c:v>1.1338934190276817</c:v>
                </c:pt>
                <c:pt idx="22">
                  <c:v>1.3972762620115438</c:v>
                </c:pt>
                <c:pt idx="23">
                  <c:v>1.4638501094227998</c:v>
                </c:pt>
                <c:pt idx="24">
                  <c:v>1.5118578920369088</c:v>
                </c:pt>
                <c:pt idx="25">
                  <c:v>1.6035674514745462</c:v>
                </c:pt>
                <c:pt idx="26">
                  <c:v>1.8898223650461361</c:v>
                </c:pt>
                <c:pt idx="27">
                  <c:v>1.8644544714716089</c:v>
                </c:pt>
                <c:pt idx="28">
                  <c:v>1.7320508075688772</c:v>
                </c:pt>
                <c:pt idx="29">
                  <c:v>1.5735915849388864</c:v>
                </c:pt>
                <c:pt idx="30">
                  <c:v>1.7320508075688772</c:v>
                </c:pt>
                <c:pt idx="31">
                  <c:v>6.8417485929785382</c:v>
                </c:pt>
                <c:pt idx="32">
                  <c:v>8.5412165967373159</c:v>
                </c:pt>
                <c:pt idx="33">
                  <c:v>8.7885206512868379</c:v>
                </c:pt>
                <c:pt idx="34">
                  <c:v>8.753230696094306</c:v>
                </c:pt>
                <c:pt idx="35">
                  <c:v>10.115993936995679</c:v>
                </c:pt>
                <c:pt idx="36">
                  <c:v>11.98411647219131</c:v>
                </c:pt>
                <c:pt idx="37">
                  <c:v>12.009916537515796</c:v>
                </c:pt>
                <c:pt idx="38">
                  <c:v>11.103410029613199</c:v>
                </c:pt>
                <c:pt idx="39">
                  <c:v>10.904346009952219</c:v>
                </c:pt>
                <c:pt idx="40">
                  <c:v>10.845231561338297</c:v>
                </c:pt>
                <c:pt idx="41">
                  <c:v>12.149857925879097</c:v>
                </c:pt>
                <c:pt idx="42">
                  <c:v>12.353908192108564</c:v>
                </c:pt>
                <c:pt idx="43">
                  <c:v>10.578504710249078</c:v>
                </c:pt>
                <c:pt idx="44">
                  <c:v>11.559370554621403</c:v>
                </c:pt>
                <c:pt idx="45">
                  <c:v>11.073348527841446</c:v>
                </c:pt>
                <c:pt idx="46">
                  <c:v>10.373960074101289</c:v>
                </c:pt>
                <c:pt idx="47">
                  <c:v>10.95010328283532</c:v>
                </c:pt>
                <c:pt idx="48">
                  <c:v>9.778499251881529</c:v>
                </c:pt>
                <c:pt idx="49">
                  <c:v>11.355720186425062</c:v>
                </c:pt>
                <c:pt idx="50">
                  <c:v>11.455919659202145</c:v>
                </c:pt>
                <c:pt idx="51">
                  <c:v>10.699354675689113</c:v>
                </c:pt>
                <c:pt idx="52">
                  <c:v>11.27576414895494</c:v>
                </c:pt>
                <c:pt idx="53">
                  <c:v>11.422617496711988</c:v>
                </c:pt>
                <c:pt idx="54">
                  <c:v>11.378760498234895</c:v>
                </c:pt>
                <c:pt idx="55">
                  <c:v>8.9575719499256738</c:v>
                </c:pt>
                <c:pt idx="56">
                  <c:v>9.58172864411865</c:v>
                </c:pt>
                <c:pt idx="57">
                  <c:v>9.778499251881529</c:v>
                </c:pt>
                <c:pt idx="58">
                  <c:v>9.0501249662511238</c:v>
                </c:pt>
                <c:pt idx="59">
                  <c:v>8.9042525955699556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8-40D4-92EC-6E1E608277D1}"/>
            </c:ext>
          </c:extLst>
        </c:ser>
        <c:ser>
          <c:idx val="2"/>
          <c:order val="2"/>
          <c:tx>
            <c:strRef>
              <c:f>RollingSDAndRegimeShifts!$G$1</c:f>
              <c:strCache>
                <c:ptCount val="1"/>
                <c:pt idx="0">
                  <c:v>Rolling_Mean_7D_StdDev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RollingSDAndRegimeShifts!$G$2:$G$61</c:f>
              <c:numCache>
                <c:formatCode>General</c:formatCode>
                <c:ptCount val="60"/>
                <c:pt idx="7">
                  <c:v>99.571428571428569</c:v>
                </c:pt>
                <c:pt idx="8">
                  <c:v>100</c:v>
                </c:pt>
                <c:pt idx="9">
                  <c:v>100.28571428571429</c:v>
                </c:pt>
                <c:pt idx="10">
                  <c:v>100.14285714285714</c:v>
                </c:pt>
                <c:pt idx="11">
                  <c:v>100.71428571428571</c:v>
                </c:pt>
                <c:pt idx="12">
                  <c:v>100.71428571428571</c:v>
                </c:pt>
                <c:pt idx="13">
                  <c:v>100.71428571428571</c:v>
                </c:pt>
                <c:pt idx="14">
                  <c:v>101</c:v>
                </c:pt>
                <c:pt idx="15">
                  <c:v>100.71428571428571</c:v>
                </c:pt>
                <c:pt idx="16">
                  <c:v>100.57142857142857</c:v>
                </c:pt>
                <c:pt idx="17">
                  <c:v>100.28571428571429</c:v>
                </c:pt>
                <c:pt idx="18">
                  <c:v>100.14285714285714</c:v>
                </c:pt>
                <c:pt idx="19">
                  <c:v>100.42857142857143</c:v>
                </c:pt>
                <c:pt idx="20">
                  <c:v>100.28571428571429</c:v>
                </c:pt>
                <c:pt idx="21">
                  <c:v>100.57142857142857</c:v>
                </c:pt>
                <c:pt idx="22">
                  <c:v>100.42857142857143</c:v>
                </c:pt>
                <c:pt idx="23">
                  <c:v>100.14285714285714</c:v>
                </c:pt>
                <c:pt idx="24">
                  <c:v>100.57142857142857</c:v>
                </c:pt>
                <c:pt idx="25">
                  <c:v>100.71428571428571</c:v>
                </c:pt>
                <c:pt idx="26">
                  <c:v>100.28571428571429</c:v>
                </c:pt>
                <c:pt idx="27">
                  <c:v>100.14285714285714</c:v>
                </c:pt>
                <c:pt idx="28">
                  <c:v>100</c:v>
                </c:pt>
                <c:pt idx="29">
                  <c:v>100.14285714285714</c:v>
                </c:pt>
                <c:pt idx="30">
                  <c:v>100</c:v>
                </c:pt>
                <c:pt idx="31">
                  <c:v>97.142857142857139</c:v>
                </c:pt>
                <c:pt idx="32">
                  <c:v>98.428571428571431</c:v>
                </c:pt>
                <c:pt idx="33">
                  <c:v>97.714285714285708</c:v>
                </c:pt>
                <c:pt idx="34">
                  <c:v>97.571428571428569</c:v>
                </c:pt>
                <c:pt idx="35">
                  <c:v>99</c:v>
                </c:pt>
                <c:pt idx="36">
                  <c:v>96.571428571428569</c:v>
                </c:pt>
                <c:pt idx="37">
                  <c:v>96.714285714285708</c:v>
                </c:pt>
                <c:pt idx="38">
                  <c:v>97.428571428571431</c:v>
                </c:pt>
                <c:pt idx="39">
                  <c:v>97.285714285714292</c:v>
                </c:pt>
                <c:pt idx="40">
                  <c:v>98.571428571428569</c:v>
                </c:pt>
                <c:pt idx="41">
                  <c:v>96.428571428571431</c:v>
                </c:pt>
                <c:pt idx="42">
                  <c:v>96.571428571428569</c:v>
                </c:pt>
                <c:pt idx="43">
                  <c:v>99.285714285714292</c:v>
                </c:pt>
                <c:pt idx="44">
                  <c:v>97.571428571428569</c:v>
                </c:pt>
                <c:pt idx="45">
                  <c:v>100.57142857142857</c:v>
                </c:pt>
                <c:pt idx="46">
                  <c:v>98.428571428571431</c:v>
                </c:pt>
                <c:pt idx="47">
                  <c:v>99.285714285714292</c:v>
                </c:pt>
                <c:pt idx="48">
                  <c:v>103.57142857142857</c:v>
                </c:pt>
                <c:pt idx="49">
                  <c:v>99.571428571428569</c:v>
                </c:pt>
                <c:pt idx="50">
                  <c:v>98.714285714285708</c:v>
                </c:pt>
                <c:pt idx="51">
                  <c:v>101.85714285714286</c:v>
                </c:pt>
                <c:pt idx="52">
                  <c:v>99.142857142857139</c:v>
                </c:pt>
                <c:pt idx="53">
                  <c:v>98.857142857142861</c:v>
                </c:pt>
                <c:pt idx="54">
                  <c:v>95.857142857142861</c:v>
                </c:pt>
                <c:pt idx="55">
                  <c:v>94.285714285714292</c:v>
                </c:pt>
                <c:pt idx="56">
                  <c:v>98.142857142857139</c:v>
                </c:pt>
                <c:pt idx="57">
                  <c:v>99.571428571428569</c:v>
                </c:pt>
                <c:pt idx="58">
                  <c:v>97.285714285714292</c:v>
                </c:pt>
                <c:pt idx="59">
                  <c:v>97.428571428571431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58-40D4-92EC-6E1E6082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903120"/>
        <c:axId val="1162146480"/>
      </c:lineChart>
      <c:catAx>
        <c:axId val="941903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46480"/>
        <c:crosses val="autoZero"/>
        <c:auto val="1"/>
        <c:lblAlgn val="ctr"/>
        <c:lblOffset val="100"/>
        <c:noMultiLvlLbl val="0"/>
      </c:catAx>
      <c:valAx>
        <c:axId val="11621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414916885389331E-2"/>
          <c:y val="0.19949074074074077"/>
          <c:w val="0.885631889763779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'Dynamic Operating Envelopes'!$H$1</c:f>
              <c:strCache>
                <c:ptCount val="1"/>
                <c:pt idx="0">
                  <c:v>Trend_With_Breakout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'Dynamic Operating Envelopes'!$H$2:$H$61</c:f>
              <c:numCache>
                <c:formatCode>General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98</c:v>
                </c:pt>
                <c:pt idx="4">
                  <c:v>104</c:v>
                </c:pt>
                <c:pt idx="5">
                  <c:v>102</c:v>
                </c:pt>
                <c:pt idx="6">
                  <c:v>97</c:v>
                </c:pt>
                <c:pt idx="7">
                  <c:v>98</c:v>
                </c:pt>
                <c:pt idx="8">
                  <c:v>99</c:v>
                </c:pt>
                <c:pt idx="9">
                  <c:v>105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99</c:v>
                </c:pt>
                <c:pt idx="14">
                  <c:v>104</c:v>
                </c:pt>
                <c:pt idx="15">
                  <c:v>104</c:v>
                </c:pt>
                <c:pt idx="16">
                  <c:v>98</c:v>
                </c:pt>
                <c:pt idx="17">
                  <c:v>101</c:v>
                </c:pt>
                <c:pt idx="18">
                  <c:v>105</c:v>
                </c:pt>
                <c:pt idx="19">
                  <c:v>102</c:v>
                </c:pt>
                <c:pt idx="20">
                  <c:v>100</c:v>
                </c:pt>
                <c:pt idx="21">
                  <c:v>103</c:v>
                </c:pt>
                <c:pt idx="22">
                  <c:v>100</c:v>
                </c:pt>
                <c:pt idx="23">
                  <c:v>98</c:v>
                </c:pt>
                <c:pt idx="24">
                  <c:v>100</c:v>
                </c:pt>
                <c:pt idx="25">
                  <c:v>98</c:v>
                </c:pt>
                <c:pt idx="26">
                  <c:v>96</c:v>
                </c:pt>
                <c:pt idx="27">
                  <c:v>105</c:v>
                </c:pt>
                <c:pt idx="28">
                  <c:v>95</c:v>
                </c:pt>
                <c:pt idx="29">
                  <c:v>105</c:v>
                </c:pt>
                <c:pt idx="30">
                  <c:v>101</c:v>
                </c:pt>
                <c:pt idx="31">
                  <c:v>96</c:v>
                </c:pt>
                <c:pt idx="32">
                  <c:v>104</c:v>
                </c:pt>
                <c:pt idx="33">
                  <c:v>125</c:v>
                </c:pt>
                <c:pt idx="34">
                  <c:v>123</c:v>
                </c:pt>
                <c:pt idx="35">
                  <c:v>128</c:v>
                </c:pt>
                <c:pt idx="36">
                  <c:v>126</c:v>
                </c:pt>
                <c:pt idx="37">
                  <c:v>122</c:v>
                </c:pt>
                <c:pt idx="38">
                  <c:v>124</c:v>
                </c:pt>
                <c:pt idx="39">
                  <c:v>127</c:v>
                </c:pt>
                <c:pt idx="40">
                  <c:v>124</c:v>
                </c:pt>
                <c:pt idx="41">
                  <c:v>122</c:v>
                </c:pt>
                <c:pt idx="42">
                  <c:v>124</c:v>
                </c:pt>
                <c:pt idx="43">
                  <c:v>127</c:v>
                </c:pt>
                <c:pt idx="44">
                  <c:v>126</c:v>
                </c:pt>
                <c:pt idx="45">
                  <c:v>88</c:v>
                </c:pt>
                <c:pt idx="46">
                  <c:v>86</c:v>
                </c:pt>
                <c:pt idx="47">
                  <c:v>91</c:v>
                </c:pt>
                <c:pt idx="48">
                  <c:v>89</c:v>
                </c:pt>
                <c:pt idx="49">
                  <c:v>90</c:v>
                </c:pt>
                <c:pt idx="50">
                  <c:v>91</c:v>
                </c:pt>
                <c:pt idx="51">
                  <c:v>89</c:v>
                </c:pt>
                <c:pt idx="52">
                  <c:v>91</c:v>
                </c:pt>
                <c:pt idx="53">
                  <c:v>87</c:v>
                </c:pt>
                <c:pt idx="54">
                  <c:v>86</c:v>
                </c:pt>
                <c:pt idx="55">
                  <c:v>91</c:v>
                </c:pt>
                <c:pt idx="56">
                  <c:v>87</c:v>
                </c:pt>
                <c:pt idx="57">
                  <c:v>92</c:v>
                </c:pt>
                <c:pt idx="58">
                  <c:v>92</c:v>
                </c:pt>
                <c:pt idx="5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C-47E2-9D8E-03A0A460A6E3}"/>
            </c:ext>
          </c:extLst>
        </c:ser>
        <c:ser>
          <c:idx val="1"/>
          <c:order val="1"/>
          <c:tx>
            <c:strRef>
              <c:f>'Dynamic Operating Envelopes'!$I$1</c:f>
              <c:strCache>
                <c:ptCount val="1"/>
                <c:pt idx="0">
                  <c:v>Rolling_Min_10D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'Dynamic Operating Envelopes'!$I$2:$I$61</c:f>
              <c:numCache>
                <c:formatCode>General</c:formatCode>
                <c:ptCount val="60"/>
                <c:pt idx="10">
                  <c:v>97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96</c:v>
                </c:pt>
                <c:pt idx="28">
                  <c:v>96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104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88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86</c:v>
                </c:pt>
                <c:pt idx="58">
                  <c:v>86</c:v>
                </c:pt>
                <c:pt idx="59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C-47E2-9D8E-03A0A460A6E3}"/>
            </c:ext>
          </c:extLst>
        </c:ser>
        <c:ser>
          <c:idx val="2"/>
          <c:order val="2"/>
          <c:tx>
            <c:strRef>
              <c:f>'Dynamic Operating Envelopes'!$J$1</c:f>
              <c:strCache>
                <c:ptCount val="1"/>
                <c:pt idx="0">
                  <c:v>Rolling_Max_10D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'Dynamic Operating Envelopes'!$J$2:$J$61</c:f>
              <c:numCache>
                <c:formatCode>General</c:formatCode>
                <c:ptCount val="60"/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125</c:v>
                </c:pt>
                <c:pt idx="35">
                  <c:v>125</c:v>
                </c:pt>
                <c:pt idx="36">
                  <c:v>128</c:v>
                </c:pt>
                <c:pt idx="37">
                  <c:v>128</c:v>
                </c:pt>
                <c:pt idx="38">
                  <c:v>128</c:v>
                </c:pt>
                <c:pt idx="39">
                  <c:v>128</c:v>
                </c:pt>
                <c:pt idx="40">
                  <c:v>128</c:v>
                </c:pt>
                <c:pt idx="41">
                  <c:v>128</c:v>
                </c:pt>
                <c:pt idx="42">
                  <c:v>128</c:v>
                </c:pt>
                <c:pt idx="43">
                  <c:v>128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127</c:v>
                </c:pt>
                <c:pt idx="48">
                  <c:v>127</c:v>
                </c:pt>
                <c:pt idx="49">
                  <c:v>127</c:v>
                </c:pt>
                <c:pt idx="50">
                  <c:v>127</c:v>
                </c:pt>
                <c:pt idx="51">
                  <c:v>127</c:v>
                </c:pt>
                <c:pt idx="52">
                  <c:v>127</c:v>
                </c:pt>
                <c:pt idx="53">
                  <c:v>127</c:v>
                </c:pt>
                <c:pt idx="54">
                  <c:v>126</c:v>
                </c:pt>
                <c:pt idx="55">
                  <c:v>91</c:v>
                </c:pt>
                <c:pt idx="56">
                  <c:v>91</c:v>
                </c:pt>
                <c:pt idx="57">
                  <c:v>91</c:v>
                </c:pt>
                <c:pt idx="58">
                  <c:v>92</c:v>
                </c:pt>
                <c:pt idx="5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C-47E2-9D8E-03A0A460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556000"/>
        <c:axId val="1162159920"/>
      </c:lineChart>
      <c:catAx>
        <c:axId val="108655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59920"/>
        <c:crosses val="autoZero"/>
        <c:auto val="1"/>
        <c:lblAlgn val="ctr"/>
        <c:lblOffset val="100"/>
        <c:noMultiLvlLbl val="0"/>
      </c:catAx>
      <c:valAx>
        <c:axId val="1162159920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CumulativeSaturationAndMemroy!$L$1</c:f>
              <c:strCache>
                <c:ptCount val="1"/>
                <c:pt idx="0">
                  <c:v>Rolling_Sum_7D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CumulativeSaturationAndMemroy!$L$2:$L$61</c:f>
              <c:numCache>
                <c:formatCode>General</c:formatCode>
                <c:ptCount val="60"/>
                <c:pt idx="7">
                  <c:v>77</c:v>
                </c:pt>
                <c:pt idx="8">
                  <c:v>77</c:v>
                </c:pt>
                <c:pt idx="9">
                  <c:v>72</c:v>
                </c:pt>
                <c:pt idx="10">
                  <c:v>74</c:v>
                </c:pt>
                <c:pt idx="11">
                  <c:v>75</c:v>
                </c:pt>
                <c:pt idx="12">
                  <c:v>74</c:v>
                </c:pt>
                <c:pt idx="13">
                  <c:v>72</c:v>
                </c:pt>
                <c:pt idx="14">
                  <c:v>66</c:v>
                </c:pt>
                <c:pt idx="15">
                  <c:v>65</c:v>
                </c:pt>
                <c:pt idx="16">
                  <c:v>67</c:v>
                </c:pt>
                <c:pt idx="17">
                  <c:v>68</c:v>
                </c:pt>
                <c:pt idx="18">
                  <c:v>70</c:v>
                </c:pt>
                <c:pt idx="19">
                  <c:v>77</c:v>
                </c:pt>
                <c:pt idx="20">
                  <c:v>78</c:v>
                </c:pt>
                <c:pt idx="21">
                  <c:v>76</c:v>
                </c:pt>
                <c:pt idx="22">
                  <c:v>79</c:v>
                </c:pt>
                <c:pt idx="23">
                  <c:v>80</c:v>
                </c:pt>
                <c:pt idx="24">
                  <c:v>83</c:v>
                </c:pt>
                <c:pt idx="25">
                  <c:v>83</c:v>
                </c:pt>
                <c:pt idx="26">
                  <c:v>84</c:v>
                </c:pt>
                <c:pt idx="27">
                  <c:v>86</c:v>
                </c:pt>
                <c:pt idx="28">
                  <c:v>91</c:v>
                </c:pt>
                <c:pt idx="29">
                  <c:v>85</c:v>
                </c:pt>
                <c:pt idx="30">
                  <c:v>102</c:v>
                </c:pt>
                <c:pt idx="31">
                  <c:v>118</c:v>
                </c:pt>
                <c:pt idx="32">
                  <c:v>137</c:v>
                </c:pt>
                <c:pt idx="33">
                  <c:v>149</c:v>
                </c:pt>
                <c:pt idx="34">
                  <c:v>170</c:v>
                </c:pt>
                <c:pt idx="35">
                  <c:v>194</c:v>
                </c:pt>
                <c:pt idx="36">
                  <c:v>199</c:v>
                </c:pt>
                <c:pt idx="37">
                  <c:v>185</c:v>
                </c:pt>
                <c:pt idx="38">
                  <c:v>161</c:v>
                </c:pt>
                <c:pt idx="39">
                  <c:v>144</c:v>
                </c:pt>
                <c:pt idx="40">
                  <c:v>123</c:v>
                </c:pt>
                <c:pt idx="41">
                  <c:v>99</c:v>
                </c:pt>
                <c:pt idx="42">
                  <c:v>73</c:v>
                </c:pt>
                <c:pt idx="43">
                  <c:v>66</c:v>
                </c:pt>
                <c:pt idx="44">
                  <c:v>64</c:v>
                </c:pt>
                <c:pt idx="45">
                  <c:v>68</c:v>
                </c:pt>
                <c:pt idx="46">
                  <c:v>62</c:v>
                </c:pt>
                <c:pt idx="47">
                  <c:v>64</c:v>
                </c:pt>
                <c:pt idx="48">
                  <c:v>69</c:v>
                </c:pt>
                <c:pt idx="49">
                  <c:v>66</c:v>
                </c:pt>
                <c:pt idx="50">
                  <c:v>72</c:v>
                </c:pt>
                <c:pt idx="51">
                  <c:v>67</c:v>
                </c:pt>
                <c:pt idx="52">
                  <c:v>66</c:v>
                </c:pt>
                <c:pt idx="53">
                  <c:v>70</c:v>
                </c:pt>
                <c:pt idx="54">
                  <c:v>73</c:v>
                </c:pt>
                <c:pt idx="55">
                  <c:v>74</c:v>
                </c:pt>
                <c:pt idx="56">
                  <c:v>83</c:v>
                </c:pt>
                <c:pt idx="57">
                  <c:v>76</c:v>
                </c:pt>
                <c:pt idx="58">
                  <c:v>79</c:v>
                </c:pt>
                <c:pt idx="5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18F-8852-217D0A706F72}"/>
            </c:ext>
          </c:extLst>
        </c:ser>
        <c:ser>
          <c:idx val="1"/>
          <c:order val="1"/>
          <c:tx>
            <c:strRef>
              <c:f>CumulativeSaturationAndMemroy!$K$1</c:f>
              <c:strCache>
                <c:ptCount val="1"/>
                <c:pt idx="0">
                  <c:v>Daily_Volume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CumulativeSaturationAndMemroy!$K$2:$K$61</c:f>
              <c:numCache>
                <c:formatCode>General</c:formatCode>
                <c:ptCount val="60"/>
                <c:pt idx="0">
                  <c:v>13</c:v>
                </c:pt>
                <c:pt idx="1">
                  <c:v>13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11</c:v>
                </c:pt>
                <c:pt idx="6">
                  <c:v>14</c:v>
                </c:pt>
                <c:pt idx="7">
                  <c:v>13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7</c:v>
                </c:pt>
                <c:pt idx="12">
                  <c:v>9</c:v>
                </c:pt>
                <c:pt idx="13">
                  <c:v>8</c:v>
                </c:pt>
                <c:pt idx="14">
                  <c:v>12</c:v>
                </c:pt>
                <c:pt idx="15">
                  <c:v>10</c:v>
                </c:pt>
                <c:pt idx="16">
                  <c:v>11</c:v>
                </c:pt>
                <c:pt idx="17">
                  <c:v>13</c:v>
                </c:pt>
                <c:pt idx="18">
                  <c:v>14</c:v>
                </c:pt>
                <c:pt idx="19">
                  <c:v>10</c:v>
                </c:pt>
                <c:pt idx="20">
                  <c:v>6</c:v>
                </c:pt>
                <c:pt idx="21">
                  <c:v>15</c:v>
                </c:pt>
                <c:pt idx="22">
                  <c:v>11</c:v>
                </c:pt>
                <c:pt idx="23">
                  <c:v>14</c:v>
                </c:pt>
                <c:pt idx="24">
                  <c:v>13</c:v>
                </c:pt>
                <c:pt idx="25">
                  <c:v>15</c:v>
                </c:pt>
                <c:pt idx="26">
                  <c:v>12</c:v>
                </c:pt>
                <c:pt idx="27">
                  <c:v>11</c:v>
                </c:pt>
                <c:pt idx="28">
                  <c:v>9</c:v>
                </c:pt>
                <c:pt idx="29">
                  <c:v>28</c:v>
                </c:pt>
                <c:pt idx="30">
                  <c:v>30</c:v>
                </c:pt>
                <c:pt idx="31">
                  <c:v>32</c:v>
                </c:pt>
                <c:pt idx="32">
                  <c:v>27</c:v>
                </c:pt>
                <c:pt idx="33">
                  <c:v>33</c:v>
                </c:pt>
                <c:pt idx="34">
                  <c:v>35</c:v>
                </c:pt>
                <c:pt idx="35">
                  <c:v>14</c:v>
                </c:pt>
                <c:pt idx="36">
                  <c:v>14</c:v>
                </c:pt>
                <c:pt idx="37">
                  <c:v>6</c:v>
                </c:pt>
                <c:pt idx="38">
                  <c:v>15</c:v>
                </c:pt>
                <c:pt idx="39">
                  <c:v>6</c:v>
                </c:pt>
                <c:pt idx="40">
                  <c:v>9</c:v>
                </c:pt>
                <c:pt idx="41">
                  <c:v>9</c:v>
                </c:pt>
                <c:pt idx="42">
                  <c:v>7</c:v>
                </c:pt>
                <c:pt idx="43">
                  <c:v>12</c:v>
                </c:pt>
                <c:pt idx="44">
                  <c:v>10</c:v>
                </c:pt>
                <c:pt idx="45">
                  <c:v>9</c:v>
                </c:pt>
                <c:pt idx="46">
                  <c:v>8</c:v>
                </c:pt>
                <c:pt idx="47">
                  <c:v>14</c:v>
                </c:pt>
                <c:pt idx="48">
                  <c:v>6</c:v>
                </c:pt>
                <c:pt idx="49">
                  <c:v>13</c:v>
                </c:pt>
                <c:pt idx="50">
                  <c:v>7</c:v>
                </c:pt>
                <c:pt idx="51">
                  <c:v>9</c:v>
                </c:pt>
                <c:pt idx="52">
                  <c:v>13</c:v>
                </c:pt>
                <c:pt idx="53">
                  <c:v>11</c:v>
                </c:pt>
                <c:pt idx="54">
                  <c:v>15</c:v>
                </c:pt>
                <c:pt idx="55">
                  <c:v>15</c:v>
                </c:pt>
                <c:pt idx="56">
                  <c:v>6</c:v>
                </c:pt>
                <c:pt idx="57">
                  <c:v>10</c:v>
                </c:pt>
                <c:pt idx="58">
                  <c:v>12</c:v>
                </c:pt>
                <c:pt idx="5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A-418F-8852-217D0A70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555072"/>
        <c:axId val="801751952"/>
      </c:areaChart>
      <c:barChart>
        <c:barDir val="col"/>
        <c:grouping val="clustered"/>
        <c:varyColors val="0"/>
        <c:ser>
          <c:idx val="2"/>
          <c:order val="2"/>
          <c:tx>
            <c:strRef>
              <c:f>CumulativeSaturationAndMemroy!$A$1</c:f>
              <c:strCache>
                <c:ptCount val="1"/>
                <c:pt idx="0">
                  <c:v>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CumulativeSaturationAndMemroy!$A$2:$A$61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A-418F-8852-217D0A70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6555072"/>
        <c:axId val="801751952"/>
      </c:barChart>
      <c:catAx>
        <c:axId val="1086555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51952"/>
        <c:auto val="1"/>
        <c:lblAlgn val="ctr"/>
        <c:lblOffset val="100"/>
        <c:noMultiLvlLbl val="0"/>
      </c:catAx>
      <c:valAx>
        <c:axId val="8017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5507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281939</xdr:colOff>
      <xdr:row>22</xdr:row>
      <xdr:rowOff>53340</xdr:rowOff>
    </xdr:from>
    <xdr:to>
      <xdr:col>21</xdr:col>
      <xdr:colOff>161924</xdr:colOff>
      <xdr:row>49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212B5-CFB7-7C24-4163-4478AE595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2</xdr:row>
      <xdr:rowOff>38100</xdr:rowOff>
    </xdr:from>
    <xdr:to>
      <xdr:col>16</xdr:col>
      <xdr:colOff>525780</xdr:colOff>
      <xdr:row>20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FCA88-82F5-2064-DF61-1ECD67A7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63</xdr:row>
      <xdr:rowOff>15240</xdr:rowOff>
    </xdr:from>
    <xdr:to>
      <xdr:col>13</xdr:col>
      <xdr:colOff>91440</xdr:colOff>
      <xdr:row>82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775B5-7B53-C802-3AB7-8E547AD66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6</xdr:row>
      <xdr:rowOff>41910</xdr:rowOff>
    </xdr:from>
    <xdr:to>
      <xdr:col>9</xdr:col>
      <xdr:colOff>297180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960E35-B566-5FDC-DE1E-9BD4051AB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5E2B-EEF5-4D01-9499-5D21663EEA08}">
  <dimension ref="A1:D61"/>
  <sheetViews>
    <sheetView topLeftCell="A19" workbookViewId="0">
      <selection activeCell="E23" sqref="E23"/>
    </sheetView>
  </sheetViews>
  <sheetFormatPr defaultRowHeight="14.4" x14ac:dyDescent="0.3"/>
  <cols>
    <col min="1" max="1" width="4.109375" bestFit="1" customWidth="1"/>
    <col min="2" max="2" width="16.33203125" bestFit="1" customWidth="1"/>
    <col min="3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f ca="1">50+(A2*0.8)+RANDBETWEEN(-8,8)</f>
        <v>42.8</v>
      </c>
    </row>
    <row r="3" spans="1:4" x14ac:dyDescent="0.3">
      <c r="A3">
        <v>2</v>
      </c>
      <c r="B3">
        <f t="shared" ref="B3:B61" ca="1" si="0">50+(A3*0.8)+RANDBETWEEN(-8,8)</f>
        <v>48.6</v>
      </c>
    </row>
    <row r="4" spans="1:4" x14ac:dyDescent="0.3">
      <c r="A4">
        <v>3</v>
      </c>
      <c r="B4">
        <f t="shared" ca="1" si="0"/>
        <v>57.4</v>
      </c>
    </row>
    <row r="5" spans="1:4" x14ac:dyDescent="0.3">
      <c r="A5">
        <v>4</v>
      </c>
      <c r="B5">
        <f t="shared" ca="1" si="0"/>
        <v>50.2</v>
      </c>
      <c r="C5">
        <f ca="1">AVERAGE(B2:B4)</f>
        <v>49.6</v>
      </c>
    </row>
    <row r="6" spans="1:4" x14ac:dyDescent="0.3">
      <c r="A6">
        <v>5</v>
      </c>
      <c r="B6">
        <f t="shared" ca="1" si="0"/>
        <v>54</v>
      </c>
      <c r="C6">
        <f t="shared" ref="C6:C61" ca="1" si="1">AVERAGE(B3:B5)</f>
        <v>52.066666666666663</v>
      </c>
    </row>
    <row r="7" spans="1:4" x14ac:dyDescent="0.3">
      <c r="A7">
        <v>6</v>
      </c>
      <c r="B7">
        <f t="shared" ca="1" si="0"/>
        <v>53.8</v>
      </c>
      <c r="C7">
        <f t="shared" ca="1" si="1"/>
        <v>53.866666666666667</v>
      </c>
    </row>
    <row r="8" spans="1:4" x14ac:dyDescent="0.3">
      <c r="A8">
        <v>7</v>
      </c>
      <c r="B8">
        <f t="shared" ca="1" si="0"/>
        <v>61.6</v>
      </c>
      <c r="C8">
        <f t="shared" ca="1" si="1"/>
        <v>52.666666666666664</v>
      </c>
    </row>
    <row r="9" spans="1:4" x14ac:dyDescent="0.3">
      <c r="A9">
        <v>8</v>
      </c>
      <c r="B9">
        <f t="shared" ca="1" si="0"/>
        <v>62.4</v>
      </c>
      <c r="C9">
        <f t="shared" ca="1" si="1"/>
        <v>56.466666666666669</v>
      </c>
      <c r="D9">
        <f ca="1">AVERAGE(B2:B8)</f>
        <v>52.628571428571433</v>
      </c>
    </row>
    <row r="10" spans="1:4" x14ac:dyDescent="0.3">
      <c r="A10">
        <v>9</v>
      </c>
      <c r="B10">
        <f t="shared" ca="1" si="0"/>
        <v>64.2</v>
      </c>
      <c r="C10">
        <f t="shared" ca="1" si="1"/>
        <v>59.266666666666673</v>
      </c>
      <c r="D10">
        <f t="shared" ref="D10:D61" ca="1" si="2">AVERAGE(B3:B9)</f>
        <v>55.428571428571431</v>
      </c>
    </row>
    <row r="11" spans="1:4" x14ac:dyDescent="0.3">
      <c r="A11">
        <v>10</v>
      </c>
      <c r="B11">
        <f t="shared" ca="1" si="0"/>
        <v>55</v>
      </c>
      <c r="C11">
        <f t="shared" ca="1" si="1"/>
        <v>62.733333333333327</v>
      </c>
      <c r="D11">
        <f t="shared" ca="1" si="2"/>
        <v>57.657142857142851</v>
      </c>
    </row>
    <row r="12" spans="1:4" x14ac:dyDescent="0.3">
      <c r="A12">
        <v>11</v>
      </c>
      <c r="B12">
        <f t="shared" ca="1" si="0"/>
        <v>57.8</v>
      </c>
      <c r="C12">
        <f t="shared" ca="1" si="1"/>
        <v>60.533333333333331</v>
      </c>
      <c r="D12">
        <f t="shared" ca="1" si="2"/>
        <v>57.31428571428571</v>
      </c>
    </row>
    <row r="13" spans="1:4" x14ac:dyDescent="0.3">
      <c r="A13">
        <v>12</v>
      </c>
      <c r="B13">
        <f t="shared" ca="1" si="0"/>
        <v>56.6</v>
      </c>
      <c r="C13">
        <f t="shared" ca="1" si="1"/>
        <v>59</v>
      </c>
      <c r="D13">
        <f t="shared" ca="1" si="2"/>
        <v>58.4</v>
      </c>
    </row>
    <row r="14" spans="1:4" x14ac:dyDescent="0.3">
      <c r="A14">
        <v>13</v>
      </c>
      <c r="B14">
        <f t="shared" ca="1" si="0"/>
        <v>64.400000000000006</v>
      </c>
      <c r="C14">
        <f t="shared" ca="1" si="1"/>
        <v>56.466666666666669</v>
      </c>
      <c r="D14">
        <f t="shared" ca="1" si="2"/>
        <v>58.771428571428579</v>
      </c>
    </row>
    <row r="15" spans="1:4" x14ac:dyDescent="0.3">
      <c r="A15">
        <v>14</v>
      </c>
      <c r="B15">
        <f t="shared" ca="1" si="0"/>
        <v>58.2</v>
      </c>
      <c r="C15">
        <f t="shared" ca="1" si="1"/>
        <v>59.6</v>
      </c>
      <c r="D15">
        <f t="shared" ca="1" si="2"/>
        <v>60.285714285714285</v>
      </c>
    </row>
    <row r="16" spans="1:4" x14ac:dyDescent="0.3">
      <c r="A16">
        <v>15</v>
      </c>
      <c r="B16">
        <f t="shared" ca="1" si="0"/>
        <v>62</v>
      </c>
      <c r="C16">
        <f t="shared" ca="1" si="1"/>
        <v>59.733333333333327</v>
      </c>
      <c r="D16">
        <f t="shared" ca="1" si="2"/>
        <v>59.8</v>
      </c>
    </row>
    <row r="17" spans="1:4" x14ac:dyDescent="0.3">
      <c r="A17">
        <v>16</v>
      </c>
      <c r="B17">
        <f t="shared" ca="1" si="0"/>
        <v>69.8</v>
      </c>
      <c r="C17">
        <f t="shared" ca="1" si="1"/>
        <v>61.533333333333339</v>
      </c>
      <c r="D17">
        <f t="shared" ca="1" si="2"/>
        <v>59.74285714285714</v>
      </c>
    </row>
    <row r="18" spans="1:4" x14ac:dyDescent="0.3">
      <c r="A18">
        <v>17</v>
      </c>
      <c r="B18">
        <f t="shared" ca="1" si="0"/>
        <v>59.6</v>
      </c>
      <c r="C18">
        <f t="shared" ca="1" si="1"/>
        <v>63.333333333333336</v>
      </c>
      <c r="D18">
        <f t="shared" ca="1" si="2"/>
        <v>60.542857142857144</v>
      </c>
    </row>
    <row r="19" spans="1:4" x14ac:dyDescent="0.3">
      <c r="A19">
        <v>18</v>
      </c>
      <c r="B19">
        <f t="shared" ca="1" si="0"/>
        <v>57.400000000000006</v>
      </c>
      <c r="C19">
        <f t="shared" ca="1" si="1"/>
        <v>63.800000000000004</v>
      </c>
      <c r="D19">
        <f t="shared" ca="1" si="2"/>
        <v>61.2</v>
      </c>
    </row>
    <row r="20" spans="1:4" x14ac:dyDescent="0.3">
      <c r="A20">
        <v>19</v>
      </c>
      <c r="B20">
        <f t="shared" ca="1" si="0"/>
        <v>64.2</v>
      </c>
      <c r="C20">
        <f t="shared" ca="1" si="1"/>
        <v>62.266666666666673</v>
      </c>
      <c r="D20">
        <f t="shared" ca="1" si="2"/>
        <v>61.142857142857146</v>
      </c>
    </row>
    <row r="21" spans="1:4" x14ac:dyDescent="0.3">
      <c r="A21">
        <v>20</v>
      </c>
      <c r="B21">
        <f t="shared" ca="1" si="0"/>
        <v>60</v>
      </c>
      <c r="C21">
        <f t="shared" ca="1" si="1"/>
        <v>60.4</v>
      </c>
      <c r="D21">
        <f t="shared" ca="1" si="2"/>
        <v>62.228571428571442</v>
      </c>
    </row>
    <row r="22" spans="1:4" x14ac:dyDescent="0.3">
      <c r="A22">
        <v>21</v>
      </c>
      <c r="B22">
        <f t="shared" ca="1" si="0"/>
        <v>62.8</v>
      </c>
      <c r="C22">
        <f t="shared" ca="1" si="1"/>
        <v>60.533333333333339</v>
      </c>
      <c r="D22">
        <f t="shared" ca="1" si="2"/>
        <v>61.6</v>
      </c>
    </row>
    <row r="23" spans="1:4" x14ac:dyDescent="0.3">
      <c r="A23">
        <v>22</v>
      </c>
      <c r="B23">
        <f t="shared" ca="1" si="0"/>
        <v>68.599999999999994</v>
      </c>
      <c r="C23">
        <f t="shared" ca="1" si="1"/>
        <v>62.333333333333336</v>
      </c>
      <c r="D23">
        <f t="shared" ca="1" si="2"/>
        <v>62.25714285714286</v>
      </c>
    </row>
    <row r="24" spans="1:4" x14ac:dyDescent="0.3">
      <c r="A24">
        <v>23</v>
      </c>
      <c r="B24">
        <f t="shared" ca="1" si="0"/>
        <v>64.400000000000006</v>
      </c>
      <c r="C24">
        <f t="shared" ca="1" si="1"/>
        <v>63.79999999999999</v>
      </c>
      <c r="D24">
        <f t="shared" ca="1" si="2"/>
        <v>63.199999999999996</v>
      </c>
    </row>
    <row r="25" spans="1:4" x14ac:dyDescent="0.3">
      <c r="A25">
        <v>24</v>
      </c>
      <c r="B25">
        <f t="shared" ca="1" si="0"/>
        <v>75.2</v>
      </c>
      <c r="C25">
        <f t="shared" ca="1" si="1"/>
        <v>65.266666666666666</v>
      </c>
      <c r="D25">
        <f t="shared" ca="1" si="2"/>
        <v>62.428571428571431</v>
      </c>
    </row>
    <row r="26" spans="1:4" x14ac:dyDescent="0.3">
      <c r="A26">
        <v>25</v>
      </c>
      <c r="B26">
        <f t="shared" ca="1" si="0"/>
        <v>75</v>
      </c>
      <c r="C26">
        <f t="shared" ca="1" si="1"/>
        <v>69.399999999999991</v>
      </c>
      <c r="D26">
        <f t="shared" ca="1" si="2"/>
        <v>64.657142857142858</v>
      </c>
    </row>
    <row r="27" spans="1:4" x14ac:dyDescent="0.3">
      <c r="A27">
        <v>26</v>
      </c>
      <c r="B27">
        <f t="shared" ca="1" si="0"/>
        <v>77.8</v>
      </c>
      <c r="C27">
        <f t="shared" ca="1" si="1"/>
        <v>71.533333333333346</v>
      </c>
      <c r="D27">
        <f t="shared" ca="1" si="2"/>
        <v>67.171428571428564</v>
      </c>
    </row>
    <row r="28" spans="1:4" x14ac:dyDescent="0.3">
      <c r="A28">
        <v>27</v>
      </c>
      <c r="B28">
        <f t="shared" ca="1" si="0"/>
        <v>70.599999999999994</v>
      </c>
      <c r="C28">
        <f t="shared" ca="1" si="1"/>
        <v>76</v>
      </c>
      <c r="D28">
        <f t="shared" ca="1" si="2"/>
        <v>69.114285714285714</v>
      </c>
    </row>
    <row r="29" spans="1:4" x14ac:dyDescent="0.3">
      <c r="A29">
        <v>28</v>
      </c>
      <c r="B29">
        <f t="shared" ca="1" si="0"/>
        <v>67.400000000000006</v>
      </c>
      <c r="C29">
        <f t="shared" ca="1" si="1"/>
        <v>74.466666666666669</v>
      </c>
      <c r="D29">
        <f t="shared" ca="1" si="2"/>
        <v>70.628571428571419</v>
      </c>
    </row>
    <row r="30" spans="1:4" x14ac:dyDescent="0.3">
      <c r="A30">
        <v>29</v>
      </c>
      <c r="B30">
        <f t="shared" ca="1" si="0"/>
        <v>78.2</v>
      </c>
      <c r="C30">
        <f t="shared" ca="1" si="1"/>
        <v>71.933333333333323</v>
      </c>
      <c r="D30">
        <f t="shared" ca="1" si="2"/>
        <v>71.285714285714292</v>
      </c>
    </row>
    <row r="31" spans="1:4" x14ac:dyDescent="0.3">
      <c r="A31">
        <v>30</v>
      </c>
      <c r="B31">
        <f t="shared" ca="1" si="0"/>
        <v>67</v>
      </c>
      <c r="C31">
        <f t="shared" ca="1" si="1"/>
        <v>72.066666666666663</v>
      </c>
      <c r="D31">
        <f t="shared" ca="1" si="2"/>
        <v>72.657142857142858</v>
      </c>
    </row>
    <row r="32" spans="1:4" x14ac:dyDescent="0.3">
      <c r="A32">
        <v>31</v>
      </c>
      <c r="B32">
        <f t="shared" ca="1" si="0"/>
        <v>67.8</v>
      </c>
      <c r="C32">
        <f t="shared" ca="1" si="1"/>
        <v>70.866666666666674</v>
      </c>
      <c r="D32">
        <f t="shared" ca="1" si="2"/>
        <v>73.028571428571425</v>
      </c>
    </row>
    <row r="33" spans="1:4" x14ac:dyDescent="0.3">
      <c r="A33">
        <v>32</v>
      </c>
      <c r="B33">
        <f t="shared" ca="1" si="0"/>
        <v>76.599999999999994</v>
      </c>
      <c r="C33">
        <f t="shared" ca="1" si="1"/>
        <v>71</v>
      </c>
      <c r="D33">
        <f t="shared" ca="1" si="2"/>
        <v>71.971428571428575</v>
      </c>
    </row>
    <row r="34" spans="1:4" x14ac:dyDescent="0.3">
      <c r="A34">
        <v>33</v>
      </c>
      <c r="B34">
        <f t="shared" ca="1" si="0"/>
        <v>84.4</v>
      </c>
      <c r="C34">
        <f t="shared" ca="1" si="1"/>
        <v>70.466666666666669</v>
      </c>
      <c r="D34">
        <f t="shared" ca="1" si="2"/>
        <v>72.2</v>
      </c>
    </row>
    <row r="35" spans="1:4" x14ac:dyDescent="0.3">
      <c r="A35">
        <v>34</v>
      </c>
      <c r="B35">
        <f t="shared" ca="1" si="0"/>
        <v>80.2</v>
      </c>
      <c r="C35">
        <f t="shared" ca="1" si="1"/>
        <v>76.266666666666666</v>
      </c>
      <c r="D35">
        <f t="shared" ca="1" si="2"/>
        <v>73.142857142857139</v>
      </c>
    </row>
    <row r="36" spans="1:4" x14ac:dyDescent="0.3">
      <c r="A36">
        <v>35</v>
      </c>
      <c r="B36">
        <f t="shared" ca="1" si="0"/>
        <v>70</v>
      </c>
      <c r="C36">
        <f t="shared" ca="1" si="1"/>
        <v>80.399999999999991</v>
      </c>
      <c r="D36">
        <f t="shared" ca="1" si="2"/>
        <v>74.51428571428572</v>
      </c>
    </row>
    <row r="37" spans="1:4" x14ac:dyDescent="0.3">
      <c r="A37">
        <v>36</v>
      </c>
      <c r="B37">
        <f t="shared" ca="1" si="0"/>
        <v>71.8</v>
      </c>
      <c r="C37">
        <f t="shared" ca="1" si="1"/>
        <v>78.2</v>
      </c>
      <c r="D37">
        <f t="shared" ca="1" si="2"/>
        <v>74.885714285714286</v>
      </c>
    </row>
    <row r="38" spans="1:4" x14ac:dyDescent="0.3">
      <c r="A38">
        <v>37</v>
      </c>
      <c r="B38">
        <f t="shared" ca="1" si="0"/>
        <v>76.599999999999994</v>
      </c>
      <c r="C38">
        <f t="shared" ca="1" si="1"/>
        <v>74</v>
      </c>
      <c r="D38">
        <f t="shared" ca="1" si="2"/>
        <v>73.971428571428561</v>
      </c>
    </row>
    <row r="39" spans="1:4" x14ac:dyDescent="0.3">
      <c r="A39">
        <v>38</v>
      </c>
      <c r="B39">
        <f t="shared" ca="1" si="0"/>
        <v>86.4</v>
      </c>
      <c r="C39">
        <f t="shared" ca="1" si="1"/>
        <v>72.8</v>
      </c>
      <c r="D39">
        <f t="shared" ca="1" si="2"/>
        <v>75.342857142857142</v>
      </c>
    </row>
    <row r="40" spans="1:4" x14ac:dyDescent="0.3">
      <c r="A40">
        <v>39</v>
      </c>
      <c r="B40">
        <f t="shared" ca="1" si="0"/>
        <v>77.2</v>
      </c>
      <c r="C40">
        <f t="shared" ca="1" si="1"/>
        <v>78.266666666666666</v>
      </c>
      <c r="D40">
        <f t="shared" ca="1" si="2"/>
        <v>78</v>
      </c>
    </row>
    <row r="41" spans="1:4" x14ac:dyDescent="0.3">
      <c r="A41">
        <v>40</v>
      </c>
      <c r="B41">
        <f t="shared" ca="1" si="0"/>
        <v>87</v>
      </c>
      <c r="C41">
        <f t="shared" ca="1" si="1"/>
        <v>80.066666666666663</v>
      </c>
      <c r="D41">
        <f t="shared" ca="1" si="2"/>
        <v>78.085714285714289</v>
      </c>
    </row>
    <row r="42" spans="1:4" x14ac:dyDescent="0.3">
      <c r="A42">
        <v>41</v>
      </c>
      <c r="B42">
        <f t="shared" ca="1" si="0"/>
        <v>85.800000000000011</v>
      </c>
      <c r="C42">
        <f t="shared" ca="1" si="1"/>
        <v>83.533333333333346</v>
      </c>
      <c r="D42">
        <f t="shared" ca="1" si="2"/>
        <v>78.45714285714287</v>
      </c>
    </row>
    <row r="43" spans="1:4" x14ac:dyDescent="0.3">
      <c r="A43">
        <v>42</v>
      </c>
      <c r="B43">
        <f t="shared" ca="1" si="0"/>
        <v>86.6</v>
      </c>
      <c r="C43">
        <f t="shared" ca="1" si="1"/>
        <v>83.333333333333329</v>
      </c>
      <c r="D43">
        <f t="shared" ca="1" si="2"/>
        <v>79.257142857142853</v>
      </c>
    </row>
    <row r="44" spans="1:4" x14ac:dyDescent="0.3">
      <c r="A44">
        <v>43</v>
      </c>
      <c r="B44">
        <f t="shared" ca="1" si="0"/>
        <v>91.4</v>
      </c>
      <c r="C44">
        <f t="shared" ca="1" si="1"/>
        <v>86.466666666666654</v>
      </c>
      <c r="D44">
        <f t="shared" ca="1" si="2"/>
        <v>81.628571428571419</v>
      </c>
    </row>
    <row r="45" spans="1:4" x14ac:dyDescent="0.3">
      <c r="A45">
        <v>44</v>
      </c>
      <c r="B45">
        <f t="shared" ca="1" si="0"/>
        <v>88.2</v>
      </c>
      <c r="C45">
        <f t="shared" ca="1" si="1"/>
        <v>87.933333333333337</v>
      </c>
      <c r="D45">
        <f t="shared" ca="1" si="2"/>
        <v>84.428571428571431</v>
      </c>
    </row>
    <row r="46" spans="1:4" x14ac:dyDescent="0.3">
      <c r="A46">
        <v>45</v>
      </c>
      <c r="B46">
        <f t="shared" ca="1" si="0"/>
        <v>80</v>
      </c>
      <c r="C46">
        <f t="shared" ca="1" si="1"/>
        <v>88.733333333333334</v>
      </c>
      <c r="D46">
        <f t="shared" ca="1" si="2"/>
        <v>86.085714285714289</v>
      </c>
    </row>
    <row r="47" spans="1:4" x14ac:dyDescent="0.3">
      <c r="A47">
        <v>46</v>
      </c>
      <c r="B47">
        <f t="shared" ca="1" si="0"/>
        <v>81.800000000000011</v>
      </c>
      <c r="C47">
        <f t="shared" ca="1" si="1"/>
        <v>86.533333333333346</v>
      </c>
      <c r="D47">
        <f t="shared" ca="1" si="2"/>
        <v>85.171428571428578</v>
      </c>
    </row>
    <row r="48" spans="1:4" x14ac:dyDescent="0.3">
      <c r="A48">
        <v>47</v>
      </c>
      <c r="B48">
        <f t="shared" ca="1" si="0"/>
        <v>83.6</v>
      </c>
      <c r="C48">
        <f t="shared" ca="1" si="1"/>
        <v>83.333333333333329</v>
      </c>
      <c r="D48">
        <f t="shared" ca="1" si="2"/>
        <v>85.828571428571422</v>
      </c>
    </row>
    <row r="49" spans="1:4" x14ac:dyDescent="0.3">
      <c r="A49">
        <v>48</v>
      </c>
      <c r="B49">
        <f t="shared" ca="1" si="0"/>
        <v>85.4</v>
      </c>
      <c r="C49">
        <f t="shared" ca="1" si="1"/>
        <v>81.8</v>
      </c>
      <c r="D49">
        <f t="shared" ca="1" si="2"/>
        <v>85.342857142857142</v>
      </c>
    </row>
    <row r="50" spans="1:4" x14ac:dyDescent="0.3">
      <c r="A50">
        <v>49</v>
      </c>
      <c r="B50">
        <f t="shared" ca="1" si="0"/>
        <v>97.2</v>
      </c>
      <c r="C50">
        <f t="shared" ca="1" si="1"/>
        <v>83.600000000000009</v>
      </c>
      <c r="D50">
        <f t="shared" ca="1" si="2"/>
        <v>85.285714285714292</v>
      </c>
    </row>
    <row r="51" spans="1:4" x14ac:dyDescent="0.3">
      <c r="A51">
        <v>50</v>
      </c>
      <c r="B51">
        <f t="shared" ca="1" si="0"/>
        <v>94</v>
      </c>
      <c r="C51">
        <f t="shared" ca="1" si="1"/>
        <v>88.733333333333334</v>
      </c>
      <c r="D51">
        <f t="shared" ca="1" si="2"/>
        <v>86.8</v>
      </c>
    </row>
    <row r="52" spans="1:4" x14ac:dyDescent="0.3">
      <c r="A52">
        <v>51</v>
      </c>
      <c r="B52">
        <f t="shared" ca="1" si="0"/>
        <v>95.800000000000011</v>
      </c>
      <c r="C52">
        <f t="shared" ca="1" si="1"/>
        <v>92.2</v>
      </c>
      <c r="D52">
        <f t="shared" ca="1" si="2"/>
        <v>87.171428571428578</v>
      </c>
    </row>
    <row r="53" spans="1:4" x14ac:dyDescent="0.3">
      <c r="A53">
        <v>52</v>
      </c>
      <c r="B53">
        <f t="shared" ca="1" si="0"/>
        <v>91.6</v>
      </c>
      <c r="C53">
        <f t="shared" ca="1" si="1"/>
        <v>95.666666666666671</v>
      </c>
      <c r="D53">
        <f t="shared" ca="1" si="2"/>
        <v>88.257142857142853</v>
      </c>
    </row>
    <row r="54" spans="1:4" x14ac:dyDescent="0.3">
      <c r="A54">
        <v>53</v>
      </c>
      <c r="B54">
        <f t="shared" ca="1" si="0"/>
        <v>95.4</v>
      </c>
      <c r="C54">
        <f t="shared" ca="1" si="1"/>
        <v>93.8</v>
      </c>
      <c r="D54">
        <f t="shared" ca="1" si="2"/>
        <v>89.914285714285711</v>
      </c>
    </row>
    <row r="55" spans="1:4" x14ac:dyDescent="0.3">
      <c r="A55">
        <v>54</v>
      </c>
      <c r="B55">
        <f t="shared" ca="1" si="0"/>
        <v>90.2</v>
      </c>
      <c r="C55">
        <f t="shared" ca="1" si="1"/>
        <v>94.266666666666666</v>
      </c>
      <c r="D55">
        <f t="shared" ca="1" si="2"/>
        <v>91.857142857142861</v>
      </c>
    </row>
    <row r="56" spans="1:4" x14ac:dyDescent="0.3">
      <c r="A56">
        <v>55</v>
      </c>
      <c r="B56">
        <f t="shared" ca="1" si="0"/>
        <v>96</v>
      </c>
      <c r="C56">
        <f t="shared" ca="1" si="1"/>
        <v>92.399999999999991</v>
      </c>
      <c r="D56">
        <f t="shared" ca="1" si="2"/>
        <v>92.8</v>
      </c>
    </row>
    <row r="57" spans="1:4" x14ac:dyDescent="0.3">
      <c r="A57">
        <v>56</v>
      </c>
      <c r="B57">
        <f t="shared" ca="1" si="0"/>
        <v>98.800000000000011</v>
      </c>
      <c r="C57">
        <f t="shared" ca="1" si="1"/>
        <v>93.866666666666674</v>
      </c>
      <c r="D57">
        <f t="shared" ca="1" si="2"/>
        <v>94.314285714285717</v>
      </c>
    </row>
    <row r="58" spans="1:4" x14ac:dyDescent="0.3">
      <c r="A58">
        <v>57</v>
      </c>
      <c r="B58">
        <f t="shared" ca="1" si="0"/>
        <v>91.6</v>
      </c>
      <c r="C58">
        <f t="shared" ca="1" si="1"/>
        <v>95</v>
      </c>
      <c r="D58">
        <f t="shared" ca="1" si="2"/>
        <v>94.54285714285713</v>
      </c>
    </row>
    <row r="59" spans="1:4" x14ac:dyDescent="0.3">
      <c r="A59">
        <v>58</v>
      </c>
      <c r="B59">
        <f t="shared" ca="1" si="0"/>
        <v>98.4</v>
      </c>
      <c r="C59">
        <f t="shared" ca="1" si="1"/>
        <v>95.466666666666654</v>
      </c>
      <c r="D59">
        <f t="shared" ca="1" si="2"/>
        <v>94.2</v>
      </c>
    </row>
    <row r="60" spans="1:4" x14ac:dyDescent="0.3">
      <c r="A60">
        <v>59</v>
      </c>
      <c r="B60">
        <f t="shared" ca="1" si="0"/>
        <v>91.2</v>
      </c>
      <c r="C60">
        <f t="shared" ca="1" si="1"/>
        <v>96.266666666666666</v>
      </c>
      <c r="D60">
        <f t="shared" ca="1" si="2"/>
        <v>94.571428571428569</v>
      </c>
    </row>
    <row r="61" spans="1:4" x14ac:dyDescent="0.3">
      <c r="A61">
        <v>60</v>
      </c>
      <c r="B61">
        <f t="shared" ca="1" si="0"/>
        <v>97</v>
      </c>
      <c r="C61">
        <f t="shared" ca="1" si="1"/>
        <v>93.733333333333334</v>
      </c>
      <c r="D61">
        <f t="shared" ca="1" si="2"/>
        <v>94.51428571428572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1A67-82AB-4F98-870A-1250DFC0E720}">
  <dimension ref="A1:G61"/>
  <sheetViews>
    <sheetView topLeftCell="A35" workbookViewId="0">
      <selection sqref="A1:G61"/>
    </sheetView>
  </sheetViews>
  <sheetFormatPr defaultRowHeight="14.4" x14ac:dyDescent="0.3"/>
  <cols>
    <col min="1" max="1" width="4.109375" bestFit="1" customWidth="1"/>
    <col min="2" max="2" width="16.33203125" bestFit="1" customWidth="1"/>
    <col min="3" max="4" width="15.44140625" bestFit="1" customWidth="1"/>
    <col min="5" max="5" width="19.6640625" bestFit="1" customWidth="1"/>
    <col min="6" max="6" width="16.44140625" bestFit="1" customWidth="1"/>
    <col min="7" max="7" width="15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f ca="1">50+(A2*0.8)+RANDBETWEEN(-8,8)</f>
        <v>50.8</v>
      </c>
      <c r="E2">
        <f ca="1" xml:space="preserve"> 100 + RANDBETWEEN(-2, 2)</f>
        <v>98</v>
      </c>
    </row>
    <row r="3" spans="1:7" x14ac:dyDescent="0.3">
      <c r="A3">
        <v>2</v>
      </c>
      <c r="B3">
        <f t="shared" ref="B3:B61" ca="1" si="0">50+(A3*0.8)+RANDBETWEEN(-8,8)</f>
        <v>54.6</v>
      </c>
      <c r="E3">
        <f t="shared" ref="E3:E31" ca="1" si="1" xml:space="preserve"> 100 + RANDBETWEEN(-2, 2)</f>
        <v>100</v>
      </c>
    </row>
    <row r="4" spans="1:7" x14ac:dyDescent="0.3">
      <c r="A4">
        <v>3</v>
      </c>
      <c r="B4">
        <f t="shared" ca="1" si="0"/>
        <v>53.4</v>
      </c>
      <c r="E4">
        <f t="shared" ca="1" si="1"/>
        <v>102</v>
      </c>
    </row>
    <row r="5" spans="1:7" x14ac:dyDescent="0.3">
      <c r="A5">
        <v>4</v>
      </c>
      <c r="B5">
        <f t="shared" ca="1" si="0"/>
        <v>55.2</v>
      </c>
      <c r="C5">
        <f ca="1">AVERAGE(B2:B4)</f>
        <v>52.933333333333337</v>
      </c>
      <c r="E5">
        <f t="shared" ca="1" si="1"/>
        <v>98</v>
      </c>
    </row>
    <row r="6" spans="1:7" x14ac:dyDescent="0.3">
      <c r="A6">
        <v>5</v>
      </c>
      <c r="B6">
        <f t="shared" ca="1" si="0"/>
        <v>53</v>
      </c>
      <c r="C6">
        <f t="shared" ref="C6:C61" ca="1" si="2">AVERAGE(B3:B5)</f>
        <v>54.4</v>
      </c>
      <c r="E6">
        <f t="shared" ca="1" si="1"/>
        <v>99</v>
      </c>
    </row>
    <row r="7" spans="1:7" x14ac:dyDescent="0.3">
      <c r="A7">
        <v>6</v>
      </c>
      <c r="B7">
        <f t="shared" ca="1" si="0"/>
        <v>47.8</v>
      </c>
      <c r="C7">
        <f t="shared" ca="1" si="2"/>
        <v>53.866666666666667</v>
      </c>
      <c r="E7">
        <f t="shared" ca="1" si="1"/>
        <v>102</v>
      </c>
    </row>
    <row r="8" spans="1:7" x14ac:dyDescent="0.3">
      <c r="A8">
        <v>7</v>
      </c>
      <c r="B8">
        <f t="shared" ca="1" si="0"/>
        <v>52.6</v>
      </c>
      <c r="C8">
        <f t="shared" ca="1" si="2"/>
        <v>52</v>
      </c>
      <c r="E8">
        <f t="shared" ca="1" si="1"/>
        <v>98</v>
      </c>
    </row>
    <row r="9" spans="1:7" x14ac:dyDescent="0.3">
      <c r="A9">
        <v>8</v>
      </c>
      <c r="B9">
        <f t="shared" ca="1" si="0"/>
        <v>49.4</v>
      </c>
      <c r="C9">
        <f t="shared" ca="1" si="2"/>
        <v>51.133333333333333</v>
      </c>
      <c r="D9">
        <f ca="1">AVERAGE(B2:B8)</f>
        <v>52.485714285714288</v>
      </c>
      <c r="E9">
        <f t="shared" ca="1" si="1"/>
        <v>101</v>
      </c>
      <c r="F9">
        <f ca="1">_xlfn.STDEV.S(E2:E8)</f>
        <v>1.8126539343499313</v>
      </c>
      <c r="G9">
        <f ca="1">AVERAGE(E2:E8)</f>
        <v>99.571428571428569</v>
      </c>
    </row>
    <row r="10" spans="1:7" x14ac:dyDescent="0.3">
      <c r="A10">
        <v>9</v>
      </c>
      <c r="B10">
        <f t="shared" ca="1" si="0"/>
        <v>64.2</v>
      </c>
      <c r="C10">
        <f t="shared" ca="1" si="2"/>
        <v>49.933333333333337</v>
      </c>
      <c r="D10">
        <f t="shared" ref="D10:D61" ca="1" si="3">AVERAGE(B3:B9)</f>
        <v>52.285714285714285</v>
      </c>
      <c r="E10">
        <f t="shared" ca="1" si="1"/>
        <v>102</v>
      </c>
      <c r="F10">
        <f t="shared" ref="F10:F61" ca="1" si="4">_xlfn.STDEV.S(E3:E9)</f>
        <v>1.7320508075688772</v>
      </c>
      <c r="G10">
        <f t="shared" ref="G10:G61" ca="1" si="5">AVERAGE(E3:E9)</f>
        <v>100</v>
      </c>
    </row>
    <row r="11" spans="1:7" x14ac:dyDescent="0.3">
      <c r="A11">
        <v>10</v>
      </c>
      <c r="B11">
        <f t="shared" ca="1" si="0"/>
        <v>53</v>
      </c>
      <c r="C11">
        <f t="shared" ca="1" si="2"/>
        <v>55.4</v>
      </c>
      <c r="D11">
        <f t="shared" ca="1" si="3"/>
        <v>53.657142857142851</v>
      </c>
      <c r="E11">
        <f t="shared" ca="1" si="1"/>
        <v>101</v>
      </c>
      <c r="F11">
        <f t="shared" ca="1" si="4"/>
        <v>1.8898223650461361</v>
      </c>
      <c r="G11">
        <f t="shared" ca="1" si="5"/>
        <v>100.28571428571429</v>
      </c>
    </row>
    <row r="12" spans="1:7" x14ac:dyDescent="0.3">
      <c r="A12">
        <v>11</v>
      </c>
      <c r="B12">
        <f t="shared" ca="1" si="0"/>
        <v>64.8</v>
      </c>
      <c r="C12">
        <f t="shared" ca="1" si="2"/>
        <v>55.533333333333331</v>
      </c>
      <c r="D12">
        <f t="shared" ca="1" si="3"/>
        <v>53.6</v>
      </c>
      <c r="E12">
        <f t="shared" ca="1" si="1"/>
        <v>102</v>
      </c>
      <c r="F12">
        <f t="shared" ca="1" si="4"/>
        <v>1.7728105208558367</v>
      </c>
      <c r="G12">
        <f t="shared" ca="1" si="5"/>
        <v>100.14285714285714</v>
      </c>
    </row>
    <row r="13" spans="1:7" x14ac:dyDescent="0.3">
      <c r="A13">
        <v>12</v>
      </c>
      <c r="B13">
        <f t="shared" ca="1" si="0"/>
        <v>60.6</v>
      </c>
      <c r="C13">
        <f t="shared" ca="1" si="2"/>
        <v>60.666666666666664</v>
      </c>
      <c r="D13">
        <f t="shared" ca="1" si="3"/>
        <v>54.971428571428575</v>
      </c>
      <c r="E13">
        <f t="shared" ca="1" si="1"/>
        <v>99</v>
      </c>
      <c r="F13">
        <f t="shared" ca="1" si="4"/>
        <v>1.6035674514745462</v>
      </c>
      <c r="G13">
        <f t="shared" ca="1" si="5"/>
        <v>100.71428571428571</v>
      </c>
    </row>
    <row r="14" spans="1:7" x14ac:dyDescent="0.3">
      <c r="A14">
        <v>13</v>
      </c>
      <c r="B14">
        <f t="shared" ca="1" si="0"/>
        <v>62.4</v>
      </c>
      <c r="C14">
        <f t="shared" ca="1" si="2"/>
        <v>59.466666666666669</v>
      </c>
      <c r="D14">
        <f t="shared" ca="1" si="3"/>
        <v>56.057142857142864</v>
      </c>
      <c r="E14">
        <f t="shared" ca="1" si="1"/>
        <v>102</v>
      </c>
      <c r="F14">
        <f t="shared" ca="1" si="4"/>
        <v>1.6035674514745462</v>
      </c>
      <c r="G14">
        <f t="shared" ca="1" si="5"/>
        <v>100.71428571428571</v>
      </c>
    </row>
    <row r="15" spans="1:7" x14ac:dyDescent="0.3">
      <c r="A15">
        <v>14</v>
      </c>
      <c r="B15">
        <f t="shared" ca="1" si="0"/>
        <v>53.2</v>
      </c>
      <c r="C15">
        <f t="shared" ca="1" si="2"/>
        <v>62.6</v>
      </c>
      <c r="D15">
        <f t="shared" ca="1" si="3"/>
        <v>58.142857142857146</v>
      </c>
      <c r="E15">
        <f t="shared" ca="1" si="1"/>
        <v>100</v>
      </c>
      <c r="F15">
        <f t="shared" ca="1" si="4"/>
        <v>1.6035674514745462</v>
      </c>
      <c r="G15">
        <f t="shared" ca="1" si="5"/>
        <v>100.71428571428571</v>
      </c>
    </row>
    <row r="16" spans="1:7" x14ac:dyDescent="0.3">
      <c r="A16">
        <v>15</v>
      </c>
      <c r="B16">
        <f t="shared" ca="1" si="0"/>
        <v>55</v>
      </c>
      <c r="C16">
        <f t="shared" ca="1" si="2"/>
        <v>58.733333333333327</v>
      </c>
      <c r="D16">
        <f t="shared" ca="1" si="3"/>
        <v>58.228571428571421</v>
      </c>
      <c r="E16">
        <f t="shared" ca="1" si="1"/>
        <v>99</v>
      </c>
      <c r="F16">
        <f t="shared" ca="1" si="4"/>
        <v>1.1547005383792515</v>
      </c>
      <c r="G16">
        <f t="shared" ca="1" si="5"/>
        <v>101</v>
      </c>
    </row>
    <row r="17" spans="1:7" x14ac:dyDescent="0.3">
      <c r="A17">
        <v>16</v>
      </c>
      <c r="B17">
        <f t="shared" ca="1" si="0"/>
        <v>62.8</v>
      </c>
      <c r="C17">
        <f t="shared" ca="1" si="2"/>
        <v>56.866666666666667</v>
      </c>
      <c r="D17">
        <f t="shared" ca="1" si="3"/>
        <v>59.028571428571425</v>
      </c>
      <c r="E17">
        <f t="shared" ca="1" si="1"/>
        <v>101</v>
      </c>
      <c r="F17">
        <f t="shared" ca="1" si="4"/>
        <v>1.3801311186847083</v>
      </c>
      <c r="G17">
        <f t="shared" ca="1" si="5"/>
        <v>100.71428571428571</v>
      </c>
    </row>
    <row r="18" spans="1:7" x14ac:dyDescent="0.3">
      <c r="A18">
        <v>17</v>
      </c>
      <c r="B18">
        <f t="shared" ca="1" si="0"/>
        <v>69.599999999999994</v>
      </c>
      <c r="C18">
        <f t="shared" ca="1" si="2"/>
        <v>57</v>
      </c>
      <c r="D18">
        <f t="shared" ca="1" si="3"/>
        <v>58.828571428571429</v>
      </c>
      <c r="E18">
        <f t="shared" ca="1" si="1"/>
        <v>99</v>
      </c>
      <c r="F18">
        <f t="shared" ca="1" si="4"/>
        <v>1.2724180205607034</v>
      </c>
      <c r="G18">
        <f t="shared" ca="1" si="5"/>
        <v>100.57142857142857</v>
      </c>
    </row>
    <row r="19" spans="1:7" x14ac:dyDescent="0.3">
      <c r="A19">
        <v>18</v>
      </c>
      <c r="B19">
        <f t="shared" ca="1" si="0"/>
        <v>58.400000000000006</v>
      </c>
      <c r="C19">
        <f t="shared" ca="1" si="2"/>
        <v>62.466666666666661</v>
      </c>
      <c r="D19">
        <f t="shared" ca="1" si="3"/>
        <v>61.199999999999996</v>
      </c>
      <c r="E19">
        <f t="shared" ca="1" si="1"/>
        <v>101</v>
      </c>
      <c r="F19">
        <f t="shared" ca="1" si="4"/>
        <v>1.3801311186847083</v>
      </c>
      <c r="G19">
        <f t="shared" ca="1" si="5"/>
        <v>100.28571428571429</v>
      </c>
    </row>
    <row r="20" spans="1:7" x14ac:dyDescent="0.3">
      <c r="A20">
        <v>19</v>
      </c>
      <c r="B20">
        <f t="shared" ca="1" si="0"/>
        <v>72.2</v>
      </c>
      <c r="C20">
        <f t="shared" ca="1" si="2"/>
        <v>63.599999999999994</v>
      </c>
      <c r="D20">
        <f t="shared" ca="1" si="3"/>
        <v>60.285714285714285</v>
      </c>
      <c r="E20">
        <f t="shared" ca="1" si="1"/>
        <v>101</v>
      </c>
      <c r="F20">
        <f t="shared" ca="1" si="4"/>
        <v>1.2149857925879117</v>
      </c>
      <c r="G20">
        <f t="shared" ca="1" si="5"/>
        <v>100.14285714285714</v>
      </c>
    </row>
    <row r="21" spans="1:7" x14ac:dyDescent="0.3">
      <c r="A21">
        <v>20</v>
      </c>
      <c r="B21">
        <f t="shared" ca="1" si="0"/>
        <v>65</v>
      </c>
      <c r="C21">
        <f t="shared" ca="1" si="2"/>
        <v>66.733333333333334</v>
      </c>
      <c r="D21">
        <f t="shared" ca="1" si="3"/>
        <v>61.942857142857136</v>
      </c>
      <c r="E21">
        <f t="shared" ca="1" si="1"/>
        <v>101</v>
      </c>
      <c r="F21">
        <f t="shared" ca="1" si="4"/>
        <v>1.1338934190276817</v>
      </c>
      <c r="G21">
        <f t="shared" ca="1" si="5"/>
        <v>100.42857142857143</v>
      </c>
    </row>
    <row r="22" spans="1:7" x14ac:dyDescent="0.3">
      <c r="A22">
        <v>21</v>
      </c>
      <c r="B22">
        <f t="shared" ca="1" si="0"/>
        <v>58.8</v>
      </c>
      <c r="C22">
        <f t="shared" ca="1" si="2"/>
        <v>65.2</v>
      </c>
      <c r="D22">
        <f t="shared" ca="1" si="3"/>
        <v>62.31428571428571</v>
      </c>
      <c r="E22">
        <f t="shared" ca="1" si="1"/>
        <v>102</v>
      </c>
      <c r="F22">
        <f t="shared" ca="1" si="4"/>
        <v>0.95118973121134187</v>
      </c>
      <c r="G22">
        <f t="shared" ca="1" si="5"/>
        <v>100.28571428571429</v>
      </c>
    </row>
    <row r="23" spans="1:7" x14ac:dyDescent="0.3">
      <c r="A23">
        <v>22</v>
      </c>
      <c r="B23">
        <f t="shared" ca="1" si="0"/>
        <v>68.599999999999994</v>
      </c>
      <c r="C23">
        <f t="shared" ca="1" si="2"/>
        <v>65.333333333333329</v>
      </c>
      <c r="D23">
        <f t="shared" ca="1" si="3"/>
        <v>63.114285714285714</v>
      </c>
      <c r="E23">
        <f t="shared" ca="1" si="1"/>
        <v>98</v>
      </c>
      <c r="F23">
        <f t="shared" ca="1" si="4"/>
        <v>1.1338934190276817</v>
      </c>
      <c r="G23">
        <f t="shared" ca="1" si="5"/>
        <v>100.57142857142857</v>
      </c>
    </row>
    <row r="24" spans="1:7" x14ac:dyDescent="0.3">
      <c r="A24">
        <v>23</v>
      </c>
      <c r="B24">
        <f t="shared" ca="1" si="0"/>
        <v>71.400000000000006</v>
      </c>
      <c r="C24">
        <f t="shared" ca="1" si="2"/>
        <v>64.133333333333326</v>
      </c>
      <c r="D24">
        <f t="shared" ca="1" si="3"/>
        <v>65.05714285714285</v>
      </c>
      <c r="E24">
        <f t="shared" ca="1" si="1"/>
        <v>99</v>
      </c>
      <c r="F24">
        <f t="shared" ca="1" si="4"/>
        <v>1.3972762620115438</v>
      </c>
      <c r="G24">
        <f t="shared" ca="1" si="5"/>
        <v>100.42857142857143</v>
      </c>
    </row>
    <row r="25" spans="1:7" x14ac:dyDescent="0.3">
      <c r="A25">
        <v>24</v>
      </c>
      <c r="B25">
        <f t="shared" ca="1" si="0"/>
        <v>72.2</v>
      </c>
      <c r="C25">
        <f t="shared" ca="1" si="2"/>
        <v>66.266666666666666</v>
      </c>
      <c r="D25">
        <f t="shared" ca="1" si="3"/>
        <v>66.285714285714292</v>
      </c>
      <c r="E25">
        <f t="shared" ca="1" si="1"/>
        <v>102</v>
      </c>
      <c r="F25">
        <f t="shared" ca="1" si="4"/>
        <v>1.4638501094227998</v>
      </c>
      <c r="G25">
        <f t="shared" ca="1" si="5"/>
        <v>100.14285714285714</v>
      </c>
    </row>
    <row r="26" spans="1:7" x14ac:dyDescent="0.3">
      <c r="A26">
        <v>25</v>
      </c>
      <c r="B26">
        <f t="shared" ca="1" si="0"/>
        <v>76</v>
      </c>
      <c r="C26">
        <f t="shared" ca="1" si="2"/>
        <v>70.733333333333334</v>
      </c>
      <c r="D26">
        <f t="shared" ca="1" si="3"/>
        <v>66.657142857142858</v>
      </c>
      <c r="E26">
        <f t="shared" ca="1" si="1"/>
        <v>102</v>
      </c>
      <c r="F26">
        <f t="shared" ca="1" si="4"/>
        <v>1.5118578920369088</v>
      </c>
      <c r="G26">
        <f t="shared" ca="1" si="5"/>
        <v>100.57142857142857</v>
      </c>
    </row>
    <row r="27" spans="1:7" x14ac:dyDescent="0.3">
      <c r="A27">
        <v>26</v>
      </c>
      <c r="B27">
        <f t="shared" ca="1" si="0"/>
        <v>68.8</v>
      </c>
      <c r="C27">
        <f t="shared" ca="1" si="2"/>
        <v>73.2</v>
      </c>
      <c r="D27">
        <f t="shared" ca="1" si="3"/>
        <v>69.171428571428564</v>
      </c>
      <c r="E27">
        <f t="shared" ca="1" si="1"/>
        <v>98</v>
      </c>
      <c r="F27">
        <f t="shared" ca="1" si="4"/>
        <v>1.6035674514745462</v>
      </c>
      <c r="G27">
        <f t="shared" ca="1" si="5"/>
        <v>100.71428571428571</v>
      </c>
    </row>
    <row r="28" spans="1:7" x14ac:dyDescent="0.3">
      <c r="A28">
        <v>27</v>
      </c>
      <c r="B28">
        <f t="shared" ca="1" si="0"/>
        <v>65.599999999999994</v>
      </c>
      <c r="C28">
        <f t="shared" ca="1" si="2"/>
        <v>72.333333333333329</v>
      </c>
      <c r="D28">
        <f t="shared" ca="1" si="3"/>
        <v>68.685714285714283</v>
      </c>
      <c r="E28">
        <f t="shared" ca="1" si="1"/>
        <v>100</v>
      </c>
      <c r="F28">
        <f t="shared" ca="1" si="4"/>
        <v>1.8898223650461361</v>
      </c>
      <c r="G28">
        <f t="shared" ca="1" si="5"/>
        <v>100.28571428571429</v>
      </c>
    </row>
    <row r="29" spans="1:7" x14ac:dyDescent="0.3">
      <c r="A29">
        <v>28</v>
      </c>
      <c r="B29">
        <f t="shared" ca="1" si="0"/>
        <v>69.400000000000006</v>
      </c>
      <c r="C29">
        <f t="shared" ca="1" si="2"/>
        <v>70.13333333333334</v>
      </c>
      <c r="D29">
        <f t="shared" ca="1" si="3"/>
        <v>68.771428571428572</v>
      </c>
      <c r="E29">
        <f t="shared" ca="1" si="1"/>
        <v>101</v>
      </c>
      <c r="F29">
        <f t="shared" ca="1" si="4"/>
        <v>1.8644544714716089</v>
      </c>
      <c r="G29">
        <f t="shared" ca="1" si="5"/>
        <v>100.14285714285714</v>
      </c>
    </row>
    <row r="30" spans="1:7" x14ac:dyDescent="0.3">
      <c r="A30">
        <v>29</v>
      </c>
      <c r="B30">
        <f t="shared" ca="1" si="0"/>
        <v>81.2</v>
      </c>
      <c r="C30">
        <f t="shared" ca="1" si="2"/>
        <v>67.933333333333323</v>
      </c>
      <c r="D30">
        <f t="shared" ca="1" si="3"/>
        <v>70.285714285714292</v>
      </c>
      <c r="E30">
        <f t="shared" ca="1" si="1"/>
        <v>99</v>
      </c>
      <c r="F30">
        <f t="shared" ca="1" si="4"/>
        <v>1.7320508075688772</v>
      </c>
      <c r="G30">
        <f t="shared" ca="1" si="5"/>
        <v>100</v>
      </c>
    </row>
    <row r="31" spans="1:7" x14ac:dyDescent="0.3">
      <c r="A31">
        <v>30</v>
      </c>
      <c r="B31">
        <f t="shared" ca="1" si="0"/>
        <v>79</v>
      </c>
      <c r="C31">
        <f t="shared" ca="1" si="2"/>
        <v>72.066666666666663</v>
      </c>
      <c r="D31">
        <f t="shared" ca="1" si="3"/>
        <v>72.085714285714275</v>
      </c>
      <c r="E31">
        <f t="shared" ca="1" si="1"/>
        <v>98</v>
      </c>
      <c r="F31">
        <f t="shared" ca="1" si="4"/>
        <v>1.5735915849388864</v>
      </c>
      <c r="G31">
        <f t="shared" ca="1" si="5"/>
        <v>100.14285714285714</v>
      </c>
    </row>
    <row r="32" spans="1:7" x14ac:dyDescent="0.3">
      <c r="A32">
        <v>31</v>
      </c>
      <c r="B32">
        <f t="shared" ca="1" si="0"/>
        <v>66.8</v>
      </c>
      <c r="C32">
        <f t="shared" ca="1" si="2"/>
        <v>76.533333333333346</v>
      </c>
      <c r="D32">
        <f t="shared" ca="1" si="3"/>
        <v>73.171428571428578</v>
      </c>
      <c r="E32">
        <f ca="1" xml:space="preserve"> 100 + RANDBETWEEN(-18, 18)</f>
        <v>82</v>
      </c>
      <c r="F32">
        <f t="shared" ca="1" si="4"/>
        <v>1.7320508075688772</v>
      </c>
      <c r="G32">
        <f t="shared" ca="1" si="5"/>
        <v>100</v>
      </c>
    </row>
    <row r="33" spans="1:7" x14ac:dyDescent="0.3">
      <c r="A33">
        <v>32</v>
      </c>
      <c r="B33">
        <f t="shared" ca="1" si="0"/>
        <v>73.599999999999994</v>
      </c>
      <c r="C33">
        <f t="shared" ca="1" si="2"/>
        <v>75.666666666666671</v>
      </c>
      <c r="D33">
        <f t="shared" ca="1" si="3"/>
        <v>72.400000000000006</v>
      </c>
      <c r="E33">
        <f t="shared" ref="E33:E61" ca="1" si="6" xml:space="preserve"> 100 + RANDBETWEEN(-18, 18)</f>
        <v>111</v>
      </c>
      <c r="F33">
        <f t="shared" ca="1" si="4"/>
        <v>6.8417485929785382</v>
      </c>
      <c r="G33">
        <f t="shared" ca="1" si="5"/>
        <v>97.142857142857139</v>
      </c>
    </row>
    <row r="34" spans="1:7" x14ac:dyDescent="0.3">
      <c r="A34">
        <v>33</v>
      </c>
      <c r="B34">
        <f t="shared" ca="1" si="0"/>
        <v>72.400000000000006</v>
      </c>
      <c r="C34">
        <f t="shared" ca="1" si="2"/>
        <v>73.13333333333334</v>
      </c>
      <c r="D34">
        <f t="shared" ca="1" si="3"/>
        <v>72.05714285714285</v>
      </c>
      <c r="E34">
        <f t="shared" ca="1" si="6"/>
        <v>93</v>
      </c>
      <c r="F34">
        <f t="shared" ca="1" si="4"/>
        <v>8.5412165967373159</v>
      </c>
      <c r="G34">
        <f t="shared" ca="1" si="5"/>
        <v>98.428571428571431</v>
      </c>
    </row>
    <row r="35" spans="1:7" x14ac:dyDescent="0.3">
      <c r="A35">
        <v>34</v>
      </c>
      <c r="B35">
        <f t="shared" ca="1" si="0"/>
        <v>80.2</v>
      </c>
      <c r="C35">
        <f t="shared" ca="1" si="2"/>
        <v>70.933333333333323</v>
      </c>
      <c r="D35">
        <f t="shared" ca="1" si="3"/>
        <v>72.571428571428569</v>
      </c>
      <c r="E35">
        <f t="shared" ca="1" si="6"/>
        <v>99</v>
      </c>
      <c r="F35">
        <f t="shared" ca="1" si="4"/>
        <v>8.7885206512868379</v>
      </c>
      <c r="G35">
        <f t="shared" ca="1" si="5"/>
        <v>97.714285714285708</v>
      </c>
    </row>
    <row r="36" spans="1:7" x14ac:dyDescent="0.3">
      <c r="A36">
        <v>35</v>
      </c>
      <c r="B36">
        <f t="shared" ca="1" si="0"/>
        <v>81</v>
      </c>
      <c r="C36">
        <f t="shared" ca="1" si="2"/>
        <v>75.399999999999991</v>
      </c>
      <c r="D36">
        <f t="shared" ca="1" si="3"/>
        <v>74.657142857142858</v>
      </c>
      <c r="E36">
        <f t="shared" ca="1" si="6"/>
        <v>111</v>
      </c>
      <c r="F36">
        <f t="shared" ca="1" si="4"/>
        <v>8.753230696094306</v>
      </c>
      <c r="G36">
        <f t="shared" ca="1" si="5"/>
        <v>97.571428571428569</v>
      </c>
    </row>
    <row r="37" spans="1:7" x14ac:dyDescent="0.3">
      <c r="A37">
        <v>36</v>
      </c>
      <c r="B37">
        <f t="shared" ca="1" si="0"/>
        <v>74.8</v>
      </c>
      <c r="C37">
        <f t="shared" ca="1" si="2"/>
        <v>77.866666666666674</v>
      </c>
      <c r="D37">
        <f t="shared" ca="1" si="3"/>
        <v>76.314285714285717</v>
      </c>
      <c r="E37">
        <f t="shared" ca="1" si="6"/>
        <v>82</v>
      </c>
      <c r="F37">
        <f t="shared" ca="1" si="4"/>
        <v>10.115993936995679</v>
      </c>
      <c r="G37">
        <f t="shared" ca="1" si="5"/>
        <v>99</v>
      </c>
    </row>
    <row r="38" spans="1:7" x14ac:dyDescent="0.3">
      <c r="A38">
        <v>37</v>
      </c>
      <c r="B38">
        <f t="shared" ca="1" si="0"/>
        <v>87.6</v>
      </c>
      <c r="C38">
        <f t="shared" ca="1" si="2"/>
        <v>78.666666666666671</v>
      </c>
      <c r="D38">
        <f t="shared" ca="1" si="3"/>
        <v>75.399999999999991</v>
      </c>
      <c r="E38">
        <f t="shared" ca="1" si="6"/>
        <v>99</v>
      </c>
      <c r="F38">
        <f t="shared" ca="1" si="4"/>
        <v>11.98411647219131</v>
      </c>
      <c r="G38">
        <f t="shared" ca="1" si="5"/>
        <v>96.571428571428569</v>
      </c>
    </row>
    <row r="39" spans="1:7" x14ac:dyDescent="0.3">
      <c r="A39">
        <v>38</v>
      </c>
      <c r="B39">
        <f t="shared" ca="1" si="0"/>
        <v>77.400000000000006</v>
      </c>
      <c r="C39">
        <f t="shared" ca="1" si="2"/>
        <v>81.13333333333334</v>
      </c>
      <c r="D39">
        <f t="shared" ca="1" si="3"/>
        <v>76.628571428571419</v>
      </c>
      <c r="E39">
        <f t="shared" ca="1" si="6"/>
        <v>87</v>
      </c>
      <c r="F39">
        <f t="shared" ca="1" si="4"/>
        <v>12.009916537515796</v>
      </c>
      <c r="G39">
        <f t="shared" ca="1" si="5"/>
        <v>96.714285714285708</v>
      </c>
    </row>
    <row r="40" spans="1:7" x14ac:dyDescent="0.3">
      <c r="A40">
        <v>39</v>
      </c>
      <c r="B40">
        <f t="shared" ca="1" si="0"/>
        <v>73.2</v>
      </c>
      <c r="C40">
        <f t="shared" ca="1" si="2"/>
        <v>79.933333333333323</v>
      </c>
      <c r="D40">
        <f t="shared" ca="1" si="3"/>
        <v>78.142857142857139</v>
      </c>
      <c r="E40">
        <f t="shared" ca="1" si="6"/>
        <v>110</v>
      </c>
      <c r="F40">
        <f t="shared" ca="1" si="4"/>
        <v>11.103410029613199</v>
      </c>
      <c r="G40">
        <f t="shared" ca="1" si="5"/>
        <v>97.428571428571431</v>
      </c>
    </row>
    <row r="41" spans="1:7" x14ac:dyDescent="0.3">
      <c r="A41">
        <v>40</v>
      </c>
      <c r="B41">
        <f t="shared" ca="1" si="0"/>
        <v>79</v>
      </c>
      <c r="C41">
        <f t="shared" ca="1" si="2"/>
        <v>79.399999999999991</v>
      </c>
      <c r="D41">
        <f t="shared" ca="1" si="3"/>
        <v>78.085714285714289</v>
      </c>
      <c r="E41">
        <f t="shared" ca="1" si="6"/>
        <v>102</v>
      </c>
      <c r="F41">
        <f t="shared" ca="1" si="4"/>
        <v>10.904346009952219</v>
      </c>
      <c r="G41">
        <f t="shared" ca="1" si="5"/>
        <v>97.285714285714292</v>
      </c>
    </row>
    <row r="42" spans="1:7" x14ac:dyDescent="0.3">
      <c r="A42">
        <v>41</v>
      </c>
      <c r="B42">
        <f t="shared" ca="1" si="0"/>
        <v>81.800000000000011</v>
      </c>
      <c r="C42">
        <f t="shared" ca="1" si="2"/>
        <v>76.533333333333346</v>
      </c>
      <c r="D42">
        <f t="shared" ca="1" si="3"/>
        <v>79.028571428571439</v>
      </c>
      <c r="E42">
        <f t="shared" ca="1" si="6"/>
        <v>84</v>
      </c>
      <c r="F42">
        <f t="shared" ca="1" si="4"/>
        <v>10.845231561338297</v>
      </c>
      <c r="G42">
        <f t="shared" ca="1" si="5"/>
        <v>98.571428571428569</v>
      </c>
    </row>
    <row r="43" spans="1:7" x14ac:dyDescent="0.3">
      <c r="A43">
        <v>42</v>
      </c>
      <c r="B43">
        <f t="shared" ca="1" si="0"/>
        <v>85.6</v>
      </c>
      <c r="C43">
        <f t="shared" ca="1" si="2"/>
        <v>78</v>
      </c>
      <c r="D43">
        <f t="shared" ca="1" si="3"/>
        <v>79.257142857142853</v>
      </c>
      <c r="E43">
        <f t="shared" ca="1" si="6"/>
        <v>112</v>
      </c>
      <c r="F43">
        <f t="shared" ca="1" si="4"/>
        <v>12.149857925879097</v>
      </c>
      <c r="G43">
        <f t="shared" ca="1" si="5"/>
        <v>96.428571428571431</v>
      </c>
    </row>
    <row r="44" spans="1:7" x14ac:dyDescent="0.3">
      <c r="A44">
        <v>43</v>
      </c>
      <c r="B44">
        <f t="shared" ca="1" si="0"/>
        <v>92.4</v>
      </c>
      <c r="C44">
        <f t="shared" ca="1" si="2"/>
        <v>82.13333333333334</v>
      </c>
      <c r="D44">
        <f t="shared" ca="1" si="3"/>
        <v>79.914285714285711</v>
      </c>
      <c r="E44">
        <f t="shared" ca="1" si="6"/>
        <v>101</v>
      </c>
      <c r="F44">
        <f t="shared" ca="1" si="4"/>
        <v>12.353908192108564</v>
      </c>
      <c r="G44">
        <f t="shared" ca="1" si="5"/>
        <v>96.571428571428569</v>
      </c>
    </row>
    <row r="45" spans="1:7" x14ac:dyDescent="0.3">
      <c r="A45">
        <v>44</v>
      </c>
      <c r="B45">
        <f t="shared" ca="1" si="0"/>
        <v>77.2</v>
      </c>
      <c r="C45">
        <f t="shared" ca="1" si="2"/>
        <v>86.600000000000009</v>
      </c>
      <c r="D45">
        <f t="shared" ca="1" si="3"/>
        <v>82.428571428571431</v>
      </c>
      <c r="E45">
        <f t="shared" ca="1" si="6"/>
        <v>87</v>
      </c>
      <c r="F45">
        <f t="shared" ca="1" si="4"/>
        <v>10.578504710249078</v>
      </c>
      <c r="G45">
        <f t="shared" ca="1" si="5"/>
        <v>99.285714285714292</v>
      </c>
    </row>
    <row r="46" spans="1:7" x14ac:dyDescent="0.3">
      <c r="A46">
        <v>45</v>
      </c>
      <c r="B46">
        <f t="shared" ca="1" si="0"/>
        <v>82</v>
      </c>
      <c r="C46">
        <f t="shared" ca="1" si="2"/>
        <v>85.066666666666663</v>
      </c>
      <c r="D46">
        <f t="shared" ca="1" si="3"/>
        <v>80.94285714285715</v>
      </c>
      <c r="E46">
        <f t="shared" ca="1" si="6"/>
        <v>108</v>
      </c>
      <c r="F46">
        <f t="shared" ca="1" si="4"/>
        <v>11.559370554621403</v>
      </c>
      <c r="G46">
        <f t="shared" ca="1" si="5"/>
        <v>97.571428571428569</v>
      </c>
    </row>
    <row r="47" spans="1:7" x14ac:dyDescent="0.3">
      <c r="A47">
        <v>46</v>
      </c>
      <c r="B47">
        <f t="shared" ca="1" si="0"/>
        <v>88.800000000000011</v>
      </c>
      <c r="C47">
        <f t="shared" ca="1" si="2"/>
        <v>83.866666666666674</v>
      </c>
      <c r="D47">
        <f t="shared" ca="1" si="3"/>
        <v>81.600000000000009</v>
      </c>
      <c r="E47">
        <f t="shared" ca="1" si="6"/>
        <v>95</v>
      </c>
      <c r="F47">
        <f t="shared" ca="1" si="4"/>
        <v>11.073348527841446</v>
      </c>
      <c r="G47">
        <f t="shared" ca="1" si="5"/>
        <v>100.57142857142857</v>
      </c>
    </row>
    <row r="48" spans="1:7" x14ac:dyDescent="0.3">
      <c r="A48">
        <v>47</v>
      </c>
      <c r="B48">
        <f t="shared" ca="1" si="0"/>
        <v>82.6</v>
      </c>
      <c r="C48">
        <f t="shared" ca="1" si="2"/>
        <v>82.666666666666671</v>
      </c>
      <c r="D48">
        <f t="shared" ca="1" si="3"/>
        <v>83.828571428571422</v>
      </c>
      <c r="E48">
        <f t="shared" ca="1" si="6"/>
        <v>108</v>
      </c>
      <c r="F48">
        <f t="shared" ca="1" si="4"/>
        <v>10.373960074101289</v>
      </c>
      <c r="G48">
        <f t="shared" ca="1" si="5"/>
        <v>98.428571428571431</v>
      </c>
    </row>
    <row r="49" spans="1:7" x14ac:dyDescent="0.3">
      <c r="A49">
        <v>48</v>
      </c>
      <c r="B49">
        <f t="shared" ca="1" si="0"/>
        <v>85.4</v>
      </c>
      <c r="C49">
        <f t="shared" ca="1" si="2"/>
        <v>84.466666666666669</v>
      </c>
      <c r="D49">
        <f t="shared" ca="1" si="3"/>
        <v>84.342857142857142</v>
      </c>
      <c r="E49">
        <f t="shared" ca="1" si="6"/>
        <v>114</v>
      </c>
      <c r="F49">
        <f t="shared" ca="1" si="4"/>
        <v>10.95010328283532</v>
      </c>
      <c r="G49">
        <f t="shared" ca="1" si="5"/>
        <v>99.285714285714292</v>
      </c>
    </row>
    <row r="50" spans="1:7" x14ac:dyDescent="0.3">
      <c r="A50">
        <v>49</v>
      </c>
      <c r="B50">
        <f t="shared" ca="1" si="0"/>
        <v>95.2</v>
      </c>
      <c r="C50">
        <f t="shared" ca="1" si="2"/>
        <v>85.600000000000009</v>
      </c>
      <c r="D50">
        <f t="shared" ca="1" si="3"/>
        <v>84.857142857142861</v>
      </c>
      <c r="E50">
        <f t="shared" ca="1" si="6"/>
        <v>84</v>
      </c>
      <c r="F50">
        <f t="shared" ca="1" si="4"/>
        <v>9.778499251881529</v>
      </c>
      <c r="G50">
        <f t="shared" ca="1" si="5"/>
        <v>103.57142857142857</v>
      </c>
    </row>
    <row r="51" spans="1:7" x14ac:dyDescent="0.3">
      <c r="A51">
        <v>50</v>
      </c>
      <c r="B51">
        <f t="shared" ca="1" si="0"/>
        <v>95</v>
      </c>
      <c r="C51">
        <f t="shared" ca="1" si="2"/>
        <v>87.733333333333334</v>
      </c>
      <c r="D51">
        <f t="shared" ca="1" si="3"/>
        <v>86.228571428571428</v>
      </c>
      <c r="E51">
        <f t="shared" ca="1" si="6"/>
        <v>95</v>
      </c>
      <c r="F51">
        <f t="shared" ca="1" si="4"/>
        <v>11.355720186425062</v>
      </c>
      <c r="G51">
        <f t="shared" ca="1" si="5"/>
        <v>99.571428571428569</v>
      </c>
    </row>
    <row r="52" spans="1:7" x14ac:dyDescent="0.3">
      <c r="A52">
        <v>51</v>
      </c>
      <c r="B52">
        <f t="shared" ca="1" si="0"/>
        <v>89.800000000000011</v>
      </c>
      <c r="C52">
        <f t="shared" ca="1" si="2"/>
        <v>91.866666666666674</v>
      </c>
      <c r="D52">
        <f t="shared" ca="1" si="3"/>
        <v>86.600000000000009</v>
      </c>
      <c r="E52">
        <f t="shared" ca="1" si="6"/>
        <v>109</v>
      </c>
      <c r="F52">
        <f t="shared" ca="1" si="4"/>
        <v>11.455919659202145</v>
      </c>
      <c r="G52">
        <f t="shared" ca="1" si="5"/>
        <v>98.714285714285708</v>
      </c>
    </row>
    <row r="53" spans="1:7" x14ac:dyDescent="0.3">
      <c r="A53">
        <v>52</v>
      </c>
      <c r="B53">
        <f t="shared" ca="1" si="0"/>
        <v>83.6</v>
      </c>
      <c r="C53">
        <f t="shared" ca="1" si="2"/>
        <v>93.333333333333329</v>
      </c>
      <c r="D53">
        <f t="shared" ca="1" si="3"/>
        <v>88.399999999999991</v>
      </c>
      <c r="E53">
        <f t="shared" ca="1" si="6"/>
        <v>89</v>
      </c>
      <c r="F53">
        <f t="shared" ca="1" si="4"/>
        <v>10.699354675689113</v>
      </c>
      <c r="G53">
        <f t="shared" ca="1" si="5"/>
        <v>101.85714285714286</v>
      </c>
    </row>
    <row r="54" spans="1:7" x14ac:dyDescent="0.3">
      <c r="A54">
        <v>53</v>
      </c>
      <c r="B54">
        <f t="shared" ca="1" si="0"/>
        <v>88.4</v>
      </c>
      <c r="C54">
        <f t="shared" ca="1" si="2"/>
        <v>89.466666666666654</v>
      </c>
      <c r="D54">
        <f t="shared" ca="1" si="3"/>
        <v>88.628571428571419</v>
      </c>
      <c r="E54">
        <f t="shared" ca="1" si="6"/>
        <v>93</v>
      </c>
      <c r="F54">
        <f t="shared" ca="1" si="4"/>
        <v>11.27576414895494</v>
      </c>
      <c r="G54">
        <f t="shared" ca="1" si="5"/>
        <v>99.142857142857139</v>
      </c>
    </row>
    <row r="55" spans="1:7" x14ac:dyDescent="0.3">
      <c r="A55">
        <v>54</v>
      </c>
      <c r="B55">
        <f t="shared" ca="1" si="0"/>
        <v>98.2</v>
      </c>
      <c r="C55">
        <f t="shared" ca="1" si="2"/>
        <v>87.266666666666666</v>
      </c>
      <c r="D55">
        <f t="shared" ca="1" si="3"/>
        <v>88.571428571428569</v>
      </c>
      <c r="E55">
        <f t="shared" ca="1" si="6"/>
        <v>87</v>
      </c>
      <c r="F55">
        <f t="shared" ca="1" si="4"/>
        <v>11.422617496711988</v>
      </c>
      <c r="G55">
        <f t="shared" ca="1" si="5"/>
        <v>98.857142857142861</v>
      </c>
    </row>
    <row r="56" spans="1:7" x14ac:dyDescent="0.3">
      <c r="A56">
        <v>55</v>
      </c>
      <c r="B56">
        <f t="shared" ca="1" si="0"/>
        <v>94</v>
      </c>
      <c r="C56">
        <f t="shared" ca="1" si="2"/>
        <v>90.066666666666663</v>
      </c>
      <c r="D56">
        <f t="shared" ca="1" si="3"/>
        <v>90.8</v>
      </c>
      <c r="E56">
        <f t="shared" ca="1" si="6"/>
        <v>103</v>
      </c>
      <c r="F56">
        <f t="shared" ca="1" si="4"/>
        <v>11.378760498234895</v>
      </c>
      <c r="G56">
        <f t="shared" ca="1" si="5"/>
        <v>95.857142857142861</v>
      </c>
    </row>
    <row r="57" spans="1:7" x14ac:dyDescent="0.3">
      <c r="A57">
        <v>56</v>
      </c>
      <c r="B57">
        <f t="shared" ca="1" si="0"/>
        <v>89.800000000000011</v>
      </c>
      <c r="C57">
        <f t="shared" ca="1" si="2"/>
        <v>93.533333333333346</v>
      </c>
      <c r="D57">
        <f t="shared" ca="1" si="3"/>
        <v>92.028571428571439</v>
      </c>
      <c r="E57">
        <f t="shared" ca="1" si="6"/>
        <v>111</v>
      </c>
      <c r="F57">
        <f t="shared" ca="1" si="4"/>
        <v>8.9575719499256738</v>
      </c>
      <c r="G57">
        <f t="shared" ca="1" si="5"/>
        <v>94.285714285714292</v>
      </c>
    </row>
    <row r="58" spans="1:7" x14ac:dyDescent="0.3">
      <c r="A58">
        <v>57</v>
      </c>
      <c r="B58">
        <f t="shared" ca="1" si="0"/>
        <v>89.6</v>
      </c>
      <c r="C58">
        <f t="shared" ca="1" si="2"/>
        <v>94</v>
      </c>
      <c r="D58">
        <f t="shared" ca="1" si="3"/>
        <v>91.257142857142853</v>
      </c>
      <c r="E58">
        <f t="shared" ca="1" si="6"/>
        <v>105</v>
      </c>
      <c r="F58">
        <f t="shared" ca="1" si="4"/>
        <v>9.58172864411865</v>
      </c>
      <c r="G58">
        <f t="shared" ca="1" si="5"/>
        <v>98.142857142857139</v>
      </c>
    </row>
    <row r="59" spans="1:7" x14ac:dyDescent="0.3">
      <c r="A59">
        <v>58</v>
      </c>
      <c r="B59">
        <f t="shared" ca="1" si="0"/>
        <v>98.4</v>
      </c>
      <c r="C59">
        <f t="shared" ca="1" si="2"/>
        <v>91.133333333333326</v>
      </c>
      <c r="D59">
        <f t="shared" ca="1" si="3"/>
        <v>90.48571428571428</v>
      </c>
      <c r="E59">
        <f t="shared" ca="1" si="6"/>
        <v>93</v>
      </c>
      <c r="F59">
        <f t="shared" ca="1" si="4"/>
        <v>9.778499251881529</v>
      </c>
      <c r="G59">
        <f t="shared" ca="1" si="5"/>
        <v>99.571428571428569</v>
      </c>
    </row>
    <row r="60" spans="1:7" x14ac:dyDescent="0.3">
      <c r="A60">
        <v>59</v>
      </c>
      <c r="B60">
        <f t="shared" ca="1" si="0"/>
        <v>97.2</v>
      </c>
      <c r="C60">
        <f t="shared" ca="1" si="2"/>
        <v>92.600000000000009</v>
      </c>
      <c r="D60">
        <f t="shared" ca="1" si="3"/>
        <v>91.714285714285708</v>
      </c>
      <c r="E60">
        <f t="shared" ca="1" si="6"/>
        <v>90</v>
      </c>
      <c r="F60">
        <f t="shared" ca="1" si="4"/>
        <v>9.0501249662511238</v>
      </c>
      <c r="G60">
        <f t="shared" ca="1" si="5"/>
        <v>97.285714285714292</v>
      </c>
    </row>
    <row r="61" spans="1:7" x14ac:dyDescent="0.3">
      <c r="A61">
        <v>60</v>
      </c>
      <c r="B61">
        <f t="shared" ca="1" si="0"/>
        <v>90</v>
      </c>
      <c r="C61">
        <f t="shared" ca="1" si="2"/>
        <v>95.066666666666663</v>
      </c>
      <c r="D61">
        <f t="shared" ca="1" si="3"/>
        <v>93.657142857142858</v>
      </c>
      <c r="E61">
        <f t="shared" ca="1" si="6"/>
        <v>86</v>
      </c>
      <c r="F61">
        <f t="shared" ca="1" si="4"/>
        <v>8.9042525955699556</v>
      </c>
      <c r="G61">
        <f t="shared" ca="1" si="5"/>
        <v>97.428571428571431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AAD1-C508-42B7-8923-73196844AD4C}">
  <dimension ref="A1:J61"/>
  <sheetViews>
    <sheetView topLeftCell="F61" workbookViewId="0">
      <selection sqref="A1:XFD1048576"/>
    </sheetView>
  </sheetViews>
  <sheetFormatPr defaultRowHeight="14.4" x14ac:dyDescent="0.3"/>
  <cols>
    <col min="7" max="7" width="22.33203125" bestFit="1" customWidth="1"/>
    <col min="8" max="8" width="19.21875" bestFit="1" customWidth="1"/>
    <col min="9" max="9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f ca="1">50+(A2*0.8)+RANDBETWEEN(-8,8)</f>
        <v>45.8</v>
      </c>
      <c r="E2">
        <f ca="1" xml:space="preserve"> 100 + RANDBETWEEN(-2, 2)</f>
        <v>102</v>
      </c>
      <c r="H2">
        <v>100</v>
      </c>
    </row>
    <row r="3" spans="1:10" x14ac:dyDescent="0.3">
      <c r="A3">
        <v>2</v>
      </c>
      <c r="B3">
        <f t="shared" ref="B3:B61" ca="1" si="0">50+(A3*0.8)+RANDBETWEEN(-8,8)</f>
        <v>57.6</v>
      </c>
      <c r="E3">
        <f t="shared" ref="E3:E31" ca="1" si="1" xml:space="preserve"> 100 + RANDBETWEEN(-2, 2)</f>
        <v>101</v>
      </c>
      <c r="H3">
        <f ca="1">H2 + RANDBETWEEN(-1, 2)</f>
        <v>100</v>
      </c>
    </row>
    <row r="4" spans="1:10" x14ac:dyDescent="0.3">
      <c r="A4">
        <v>3</v>
      </c>
      <c r="B4">
        <f t="shared" ca="1" si="0"/>
        <v>50.4</v>
      </c>
      <c r="E4">
        <f t="shared" ca="1" si="1"/>
        <v>98</v>
      </c>
      <c r="H4">
        <f ca="1">100 + RANDBETWEEN(-5, 5)</f>
        <v>101</v>
      </c>
    </row>
    <row r="5" spans="1:10" x14ac:dyDescent="0.3">
      <c r="A5">
        <v>4</v>
      </c>
      <c r="B5">
        <f t="shared" ca="1" si="0"/>
        <v>48.2</v>
      </c>
      <c r="C5">
        <f ca="1">AVERAGE(B2:B4)</f>
        <v>51.266666666666673</v>
      </c>
      <c r="E5">
        <f t="shared" ca="1" si="1"/>
        <v>99</v>
      </c>
      <c r="H5">
        <f t="shared" ref="H5:H34" ca="1" si="2">100 + RANDBETWEEN(-5, 5)</f>
        <v>98</v>
      </c>
    </row>
    <row r="6" spans="1:10" x14ac:dyDescent="0.3">
      <c r="A6">
        <v>5</v>
      </c>
      <c r="B6">
        <f t="shared" ca="1" si="0"/>
        <v>52</v>
      </c>
      <c r="C6">
        <f t="shared" ref="C6:C61" ca="1" si="3">AVERAGE(B3:B5)</f>
        <v>52.066666666666663</v>
      </c>
      <c r="E6">
        <f t="shared" ca="1" si="1"/>
        <v>102</v>
      </c>
      <c r="H6">
        <f t="shared" ca="1" si="2"/>
        <v>104</v>
      </c>
    </row>
    <row r="7" spans="1:10" x14ac:dyDescent="0.3">
      <c r="A7">
        <v>6</v>
      </c>
      <c r="B7">
        <f t="shared" ca="1" si="0"/>
        <v>58.8</v>
      </c>
      <c r="C7">
        <f t="shared" ca="1" si="3"/>
        <v>50.199999999999996</v>
      </c>
      <c r="E7">
        <f t="shared" ca="1" si="1"/>
        <v>98</v>
      </c>
      <c r="H7">
        <f t="shared" ca="1" si="2"/>
        <v>102</v>
      </c>
    </row>
    <row r="8" spans="1:10" x14ac:dyDescent="0.3">
      <c r="A8">
        <v>7</v>
      </c>
      <c r="B8">
        <f t="shared" ca="1" si="0"/>
        <v>62.6</v>
      </c>
      <c r="C8">
        <f t="shared" ca="1" si="3"/>
        <v>53</v>
      </c>
      <c r="E8">
        <f t="shared" ca="1" si="1"/>
        <v>102</v>
      </c>
      <c r="H8">
        <f t="shared" ca="1" si="2"/>
        <v>97</v>
      </c>
    </row>
    <row r="9" spans="1:10" x14ac:dyDescent="0.3">
      <c r="A9">
        <v>8</v>
      </c>
      <c r="B9">
        <f t="shared" ca="1" si="0"/>
        <v>59.4</v>
      </c>
      <c r="C9">
        <f t="shared" ca="1" si="3"/>
        <v>57.800000000000004</v>
      </c>
      <c r="D9">
        <f ca="1">AVERAGE(B2:B8)</f>
        <v>53.628571428571433</v>
      </c>
      <c r="E9">
        <f t="shared" ca="1" si="1"/>
        <v>102</v>
      </c>
      <c r="F9">
        <f ca="1">_xlfn.STDEV.S(E2:E8)</f>
        <v>1.8898223650461361</v>
      </c>
      <c r="G9">
        <f ca="1">AVERAGE(E2:E8)</f>
        <v>100.28571428571429</v>
      </c>
      <c r="H9">
        <f t="shared" ca="1" si="2"/>
        <v>98</v>
      </c>
    </row>
    <row r="10" spans="1:10" x14ac:dyDescent="0.3">
      <c r="A10">
        <v>9</v>
      </c>
      <c r="B10">
        <f t="shared" ca="1" si="0"/>
        <v>57.2</v>
      </c>
      <c r="C10">
        <f t="shared" ca="1" si="3"/>
        <v>60.266666666666673</v>
      </c>
      <c r="D10">
        <f t="shared" ref="D10:D61" ca="1" si="4">AVERAGE(B3:B9)</f>
        <v>55.571428571428569</v>
      </c>
      <c r="E10">
        <f t="shared" ca="1" si="1"/>
        <v>102</v>
      </c>
      <c r="F10">
        <f t="shared" ref="F10:F61" ca="1" si="5">_xlfn.STDEV.S(E3:E9)</f>
        <v>1.8898223650461361</v>
      </c>
      <c r="G10">
        <f t="shared" ref="G10:G61" ca="1" si="6">AVERAGE(E3:E9)</f>
        <v>100.28571428571429</v>
      </c>
      <c r="H10">
        <f t="shared" ca="1" si="2"/>
        <v>99</v>
      </c>
    </row>
    <row r="11" spans="1:10" x14ac:dyDescent="0.3">
      <c r="A11">
        <v>10</v>
      </c>
      <c r="B11">
        <f t="shared" ca="1" si="0"/>
        <v>62</v>
      </c>
      <c r="C11">
        <f t="shared" ca="1" si="3"/>
        <v>59.733333333333327</v>
      </c>
      <c r="D11">
        <f t="shared" ca="1" si="4"/>
        <v>55.514285714285712</v>
      </c>
      <c r="E11">
        <f t="shared" ca="1" si="1"/>
        <v>100</v>
      </c>
      <c r="F11">
        <f t="shared" ca="1" si="5"/>
        <v>1.9880595947760098</v>
      </c>
      <c r="G11">
        <f t="shared" ca="1" si="6"/>
        <v>100.42857142857143</v>
      </c>
      <c r="H11">
        <f t="shared" ca="1" si="2"/>
        <v>105</v>
      </c>
    </row>
    <row r="12" spans="1:10" x14ac:dyDescent="0.3">
      <c r="A12">
        <v>11</v>
      </c>
      <c r="B12">
        <f t="shared" ca="1" si="0"/>
        <v>63.8</v>
      </c>
      <c r="C12">
        <f t="shared" ca="1" si="3"/>
        <v>59.533333333333331</v>
      </c>
      <c r="D12">
        <f t="shared" ca="1" si="4"/>
        <v>57.171428571428571</v>
      </c>
      <c r="E12">
        <f t="shared" ca="1" si="1"/>
        <v>99</v>
      </c>
      <c r="F12">
        <f t="shared" ca="1" si="5"/>
        <v>1.7043362064926932</v>
      </c>
      <c r="G12">
        <f t="shared" ca="1" si="6"/>
        <v>100.71428571428571</v>
      </c>
      <c r="H12">
        <f t="shared" ca="1" si="2"/>
        <v>98</v>
      </c>
      <c r="I12">
        <f ca="1">MIN(H2:H11)</f>
        <v>97</v>
      </c>
      <c r="J12">
        <f ca="1">MAX(H2:H11)</f>
        <v>105</v>
      </c>
    </row>
    <row r="13" spans="1:10" x14ac:dyDescent="0.3">
      <c r="A13">
        <v>12</v>
      </c>
      <c r="B13">
        <f t="shared" ca="1" si="0"/>
        <v>62.6</v>
      </c>
      <c r="C13">
        <f t="shared" ca="1" si="3"/>
        <v>61</v>
      </c>
      <c r="D13">
        <f t="shared" ca="1" si="4"/>
        <v>59.4</v>
      </c>
      <c r="E13">
        <f t="shared" ca="1" si="1"/>
        <v>99</v>
      </c>
      <c r="F13">
        <f t="shared" ca="1" si="5"/>
        <v>1.7043362064926932</v>
      </c>
      <c r="G13">
        <f t="shared" ca="1" si="6"/>
        <v>100.71428571428571</v>
      </c>
      <c r="H13">
        <f t="shared" ca="1" si="2"/>
        <v>98</v>
      </c>
      <c r="I13">
        <f t="shared" ref="I13:I61" ca="1" si="7">MIN(H3:H12)</f>
        <v>97</v>
      </c>
      <c r="J13">
        <f t="shared" ref="J13:J61" ca="1" si="8">MAX(H3:H12)</f>
        <v>105</v>
      </c>
    </row>
    <row r="14" spans="1:10" x14ac:dyDescent="0.3">
      <c r="A14">
        <v>13</v>
      </c>
      <c r="B14">
        <f t="shared" ca="1" si="0"/>
        <v>64.400000000000006</v>
      </c>
      <c r="C14">
        <f t="shared" ca="1" si="3"/>
        <v>62.800000000000004</v>
      </c>
      <c r="D14">
        <f t="shared" ca="1" si="4"/>
        <v>60.914285714285718</v>
      </c>
      <c r="E14">
        <f t="shared" ca="1" si="1"/>
        <v>101</v>
      </c>
      <c r="F14">
        <f t="shared" ca="1" si="5"/>
        <v>1.7043362064926932</v>
      </c>
      <c r="G14">
        <f t="shared" ca="1" si="6"/>
        <v>100.28571428571429</v>
      </c>
      <c r="H14">
        <f t="shared" ca="1" si="2"/>
        <v>98</v>
      </c>
      <c r="I14">
        <f t="shared" ca="1" si="7"/>
        <v>97</v>
      </c>
      <c r="J14">
        <f t="shared" ca="1" si="8"/>
        <v>105</v>
      </c>
    </row>
    <row r="15" spans="1:10" x14ac:dyDescent="0.3">
      <c r="A15">
        <v>14</v>
      </c>
      <c r="B15">
        <f t="shared" ca="1" si="0"/>
        <v>54.2</v>
      </c>
      <c r="C15">
        <f t="shared" ca="1" si="3"/>
        <v>63.6</v>
      </c>
      <c r="D15">
        <f t="shared" ca="1" si="4"/>
        <v>61.714285714285715</v>
      </c>
      <c r="E15">
        <f t="shared" ca="1" si="1"/>
        <v>99</v>
      </c>
      <c r="F15">
        <f t="shared" ca="1" si="5"/>
        <v>1.3801311186847083</v>
      </c>
      <c r="G15">
        <f t="shared" ca="1" si="6"/>
        <v>100.71428571428571</v>
      </c>
      <c r="H15">
        <f t="shared" ca="1" si="2"/>
        <v>99</v>
      </c>
      <c r="I15">
        <f t="shared" ca="1" si="7"/>
        <v>97</v>
      </c>
      <c r="J15">
        <f t="shared" ca="1" si="8"/>
        <v>105</v>
      </c>
    </row>
    <row r="16" spans="1:10" x14ac:dyDescent="0.3">
      <c r="A16">
        <v>15</v>
      </c>
      <c r="B16">
        <f t="shared" ca="1" si="0"/>
        <v>69</v>
      </c>
      <c r="C16">
        <f t="shared" ca="1" si="3"/>
        <v>60.4</v>
      </c>
      <c r="D16">
        <f t="shared" ca="1" si="4"/>
        <v>60.514285714285712</v>
      </c>
      <c r="E16">
        <f t="shared" ca="1" si="1"/>
        <v>100</v>
      </c>
      <c r="F16">
        <f t="shared" ca="1" si="5"/>
        <v>1.3801311186847083</v>
      </c>
      <c r="G16">
        <f t="shared" ca="1" si="6"/>
        <v>100.28571428571429</v>
      </c>
      <c r="H16">
        <f t="shared" ca="1" si="2"/>
        <v>104</v>
      </c>
      <c r="I16">
        <f t="shared" ca="1" si="7"/>
        <v>97</v>
      </c>
      <c r="J16">
        <f t="shared" ca="1" si="8"/>
        <v>105</v>
      </c>
    </row>
    <row r="17" spans="1:10" x14ac:dyDescent="0.3">
      <c r="A17">
        <v>16</v>
      </c>
      <c r="B17">
        <f t="shared" ca="1" si="0"/>
        <v>56.8</v>
      </c>
      <c r="C17">
        <f t="shared" ca="1" si="3"/>
        <v>62.533333333333339</v>
      </c>
      <c r="D17">
        <f t="shared" ca="1" si="4"/>
        <v>61.885714285714286</v>
      </c>
      <c r="E17">
        <f t="shared" ca="1" si="1"/>
        <v>98</v>
      </c>
      <c r="F17">
        <f t="shared" ca="1" si="5"/>
        <v>1.1547005383792515</v>
      </c>
      <c r="G17">
        <f t="shared" ca="1" si="6"/>
        <v>100</v>
      </c>
      <c r="H17">
        <f t="shared" ca="1" si="2"/>
        <v>104</v>
      </c>
      <c r="I17">
        <f t="shared" ca="1" si="7"/>
        <v>97</v>
      </c>
      <c r="J17">
        <f t="shared" ca="1" si="8"/>
        <v>105</v>
      </c>
    </row>
    <row r="18" spans="1:10" x14ac:dyDescent="0.3">
      <c r="A18">
        <v>17</v>
      </c>
      <c r="B18">
        <f t="shared" ca="1" si="0"/>
        <v>70.599999999999994</v>
      </c>
      <c r="C18">
        <f t="shared" ca="1" si="3"/>
        <v>60</v>
      </c>
      <c r="D18">
        <f t="shared" ca="1" si="4"/>
        <v>61.828571428571429</v>
      </c>
      <c r="E18">
        <f t="shared" ca="1" si="1"/>
        <v>101</v>
      </c>
      <c r="F18">
        <f t="shared" ca="1" si="5"/>
        <v>0.9759000729485332</v>
      </c>
      <c r="G18">
        <f t="shared" ca="1" si="6"/>
        <v>99.428571428571431</v>
      </c>
      <c r="H18">
        <f t="shared" ca="1" si="2"/>
        <v>98</v>
      </c>
      <c r="I18">
        <f t="shared" ca="1" si="7"/>
        <v>97</v>
      </c>
      <c r="J18">
        <f t="shared" ca="1" si="8"/>
        <v>105</v>
      </c>
    </row>
    <row r="19" spans="1:10" x14ac:dyDescent="0.3">
      <c r="A19">
        <v>18</v>
      </c>
      <c r="B19">
        <f t="shared" ca="1" si="0"/>
        <v>61.400000000000006</v>
      </c>
      <c r="C19">
        <f t="shared" ca="1" si="3"/>
        <v>65.466666666666654</v>
      </c>
      <c r="D19">
        <f t="shared" ca="1" si="4"/>
        <v>63.057142857142857</v>
      </c>
      <c r="E19">
        <f t="shared" ca="1" si="1"/>
        <v>99</v>
      </c>
      <c r="F19">
        <f t="shared" ca="1" si="5"/>
        <v>1.1338934190276817</v>
      </c>
      <c r="G19">
        <f t="shared" ca="1" si="6"/>
        <v>99.571428571428569</v>
      </c>
      <c r="H19">
        <f t="shared" ca="1" si="2"/>
        <v>101</v>
      </c>
      <c r="I19">
        <f t="shared" ca="1" si="7"/>
        <v>98</v>
      </c>
      <c r="J19">
        <f t="shared" ca="1" si="8"/>
        <v>105</v>
      </c>
    </row>
    <row r="20" spans="1:10" x14ac:dyDescent="0.3">
      <c r="A20">
        <v>19</v>
      </c>
      <c r="B20">
        <f t="shared" ca="1" si="0"/>
        <v>71.2</v>
      </c>
      <c r="C20">
        <f t="shared" ca="1" si="3"/>
        <v>62.933333333333337</v>
      </c>
      <c r="D20">
        <f t="shared" ca="1" si="4"/>
        <v>62.714285714285715</v>
      </c>
      <c r="E20">
        <f t="shared" ca="1" si="1"/>
        <v>101</v>
      </c>
      <c r="F20">
        <f t="shared" ca="1" si="5"/>
        <v>1.1338934190276817</v>
      </c>
      <c r="G20">
        <f t="shared" ca="1" si="6"/>
        <v>99.571428571428569</v>
      </c>
      <c r="H20">
        <f t="shared" ca="1" si="2"/>
        <v>105</v>
      </c>
      <c r="I20">
        <f t="shared" ca="1" si="7"/>
        <v>98</v>
      </c>
      <c r="J20">
        <f t="shared" ca="1" si="8"/>
        <v>105</v>
      </c>
    </row>
    <row r="21" spans="1:10" x14ac:dyDescent="0.3">
      <c r="A21">
        <v>20</v>
      </c>
      <c r="B21">
        <f t="shared" ca="1" si="0"/>
        <v>63</v>
      </c>
      <c r="C21">
        <f t="shared" ca="1" si="3"/>
        <v>67.733333333333334</v>
      </c>
      <c r="D21">
        <f t="shared" ca="1" si="4"/>
        <v>63.942857142857136</v>
      </c>
      <c r="E21">
        <f t="shared" ca="1" si="1"/>
        <v>102</v>
      </c>
      <c r="F21">
        <f t="shared" ca="1" si="5"/>
        <v>1.2149857925879117</v>
      </c>
      <c r="G21">
        <f t="shared" ca="1" si="6"/>
        <v>99.857142857142861</v>
      </c>
      <c r="H21">
        <f t="shared" ca="1" si="2"/>
        <v>102</v>
      </c>
      <c r="I21">
        <f t="shared" ca="1" si="7"/>
        <v>98</v>
      </c>
      <c r="J21">
        <f t="shared" ca="1" si="8"/>
        <v>105</v>
      </c>
    </row>
    <row r="22" spans="1:10" x14ac:dyDescent="0.3">
      <c r="A22">
        <v>21</v>
      </c>
      <c r="B22">
        <f t="shared" ca="1" si="0"/>
        <v>61.8</v>
      </c>
      <c r="C22">
        <f t="shared" ca="1" si="3"/>
        <v>65.2</v>
      </c>
      <c r="D22">
        <f t="shared" ca="1" si="4"/>
        <v>63.74285714285714</v>
      </c>
      <c r="E22">
        <f t="shared" ca="1" si="1"/>
        <v>102</v>
      </c>
      <c r="F22">
        <f t="shared" ca="1" si="5"/>
        <v>1.4142135623730951</v>
      </c>
      <c r="G22">
        <f t="shared" ca="1" si="6"/>
        <v>100</v>
      </c>
      <c r="H22">
        <f t="shared" ca="1" si="2"/>
        <v>100</v>
      </c>
      <c r="I22">
        <f t="shared" ca="1" si="7"/>
        <v>98</v>
      </c>
      <c r="J22">
        <f t="shared" ca="1" si="8"/>
        <v>105</v>
      </c>
    </row>
    <row r="23" spans="1:10" x14ac:dyDescent="0.3">
      <c r="A23">
        <v>22</v>
      </c>
      <c r="B23">
        <f t="shared" ca="1" si="0"/>
        <v>59.599999999999994</v>
      </c>
      <c r="C23">
        <f t="shared" ca="1" si="3"/>
        <v>65.333333333333329</v>
      </c>
      <c r="D23">
        <f t="shared" ca="1" si="4"/>
        <v>64.828571428571422</v>
      </c>
      <c r="E23">
        <f t="shared" ca="1" si="1"/>
        <v>99</v>
      </c>
      <c r="F23">
        <f t="shared" ca="1" si="5"/>
        <v>1.5118578920369088</v>
      </c>
      <c r="G23">
        <f t="shared" ca="1" si="6"/>
        <v>100.42857142857143</v>
      </c>
      <c r="H23">
        <f t="shared" ca="1" si="2"/>
        <v>103</v>
      </c>
      <c r="I23">
        <f t="shared" ca="1" si="7"/>
        <v>98</v>
      </c>
      <c r="J23">
        <f t="shared" ca="1" si="8"/>
        <v>105</v>
      </c>
    </row>
    <row r="24" spans="1:10" x14ac:dyDescent="0.3">
      <c r="A24">
        <v>23</v>
      </c>
      <c r="B24">
        <f t="shared" ca="1" si="0"/>
        <v>66.400000000000006</v>
      </c>
      <c r="C24">
        <f t="shared" ca="1" si="3"/>
        <v>61.466666666666661</v>
      </c>
      <c r="D24">
        <f t="shared" ca="1" si="4"/>
        <v>63.48571428571428</v>
      </c>
      <c r="E24">
        <f t="shared" ca="1" si="1"/>
        <v>100</v>
      </c>
      <c r="F24">
        <f t="shared" ca="1" si="5"/>
        <v>1.6035674514745462</v>
      </c>
      <c r="G24">
        <f t="shared" ca="1" si="6"/>
        <v>100.28571428571429</v>
      </c>
      <c r="H24">
        <f t="shared" ca="1" si="2"/>
        <v>100</v>
      </c>
      <c r="I24">
        <f t="shared" ca="1" si="7"/>
        <v>98</v>
      </c>
      <c r="J24">
        <f t="shared" ca="1" si="8"/>
        <v>105</v>
      </c>
    </row>
    <row r="25" spans="1:10" x14ac:dyDescent="0.3">
      <c r="A25">
        <v>24</v>
      </c>
      <c r="B25">
        <f t="shared" ca="1" si="0"/>
        <v>67.2</v>
      </c>
      <c r="C25">
        <f t="shared" ca="1" si="3"/>
        <v>62.6</v>
      </c>
      <c r="D25">
        <f t="shared" ca="1" si="4"/>
        <v>64.857142857142861</v>
      </c>
      <c r="E25">
        <f t="shared" ca="1" si="1"/>
        <v>100</v>
      </c>
      <c r="F25">
        <f t="shared" ca="1" si="5"/>
        <v>1.2724180205607036</v>
      </c>
      <c r="G25">
        <f t="shared" ca="1" si="6"/>
        <v>100.57142857142857</v>
      </c>
      <c r="H25">
        <f t="shared" ca="1" si="2"/>
        <v>98</v>
      </c>
      <c r="I25">
        <f t="shared" ca="1" si="7"/>
        <v>98</v>
      </c>
      <c r="J25">
        <f t="shared" ca="1" si="8"/>
        <v>105</v>
      </c>
    </row>
    <row r="26" spans="1:10" x14ac:dyDescent="0.3">
      <c r="A26">
        <v>25</v>
      </c>
      <c r="B26">
        <f t="shared" ca="1" si="0"/>
        <v>62</v>
      </c>
      <c r="C26">
        <f t="shared" ca="1" si="3"/>
        <v>64.399999999999991</v>
      </c>
      <c r="D26">
        <f t="shared" ca="1" si="4"/>
        <v>64.371428571428567</v>
      </c>
      <c r="E26">
        <f t="shared" ca="1" si="1"/>
        <v>101</v>
      </c>
      <c r="F26">
        <f t="shared" ca="1" si="5"/>
        <v>1.2724180205607034</v>
      </c>
      <c r="G26">
        <f t="shared" ca="1" si="6"/>
        <v>100.42857142857143</v>
      </c>
      <c r="H26">
        <f t="shared" ca="1" si="2"/>
        <v>100</v>
      </c>
      <c r="I26">
        <f t="shared" ca="1" si="7"/>
        <v>98</v>
      </c>
      <c r="J26">
        <f t="shared" ca="1" si="8"/>
        <v>105</v>
      </c>
    </row>
    <row r="27" spans="1:10" x14ac:dyDescent="0.3">
      <c r="A27">
        <v>26</v>
      </c>
      <c r="B27">
        <f t="shared" ca="1" si="0"/>
        <v>72.8</v>
      </c>
      <c r="C27">
        <f t="shared" ca="1" si="3"/>
        <v>65.2</v>
      </c>
      <c r="D27">
        <f t="shared" ca="1" si="4"/>
        <v>64.457142857142856</v>
      </c>
      <c r="E27">
        <f t="shared" ca="1" si="1"/>
        <v>101</v>
      </c>
      <c r="F27">
        <f t="shared" ca="1" si="5"/>
        <v>1.1126972805283737</v>
      </c>
      <c r="G27">
        <f t="shared" ca="1" si="6"/>
        <v>100.71428571428571</v>
      </c>
      <c r="H27">
        <f t="shared" ca="1" si="2"/>
        <v>98</v>
      </c>
      <c r="I27">
        <f t="shared" ca="1" si="7"/>
        <v>98</v>
      </c>
      <c r="J27">
        <f t="shared" ca="1" si="8"/>
        <v>105</v>
      </c>
    </row>
    <row r="28" spans="1:10" x14ac:dyDescent="0.3">
      <c r="A28">
        <v>27</v>
      </c>
      <c r="B28">
        <f t="shared" ca="1" si="0"/>
        <v>70.599999999999994</v>
      </c>
      <c r="C28">
        <f t="shared" ca="1" si="3"/>
        <v>67.333333333333329</v>
      </c>
      <c r="D28">
        <f t="shared" ca="1" si="4"/>
        <v>64.685714285714283</v>
      </c>
      <c r="E28">
        <f t="shared" ca="1" si="1"/>
        <v>98</v>
      </c>
      <c r="F28">
        <f t="shared" ca="1" si="5"/>
        <v>1.1126972805283737</v>
      </c>
      <c r="G28">
        <f t="shared" ca="1" si="6"/>
        <v>100.71428571428571</v>
      </c>
      <c r="H28">
        <f t="shared" ca="1" si="2"/>
        <v>96</v>
      </c>
      <c r="I28">
        <f t="shared" ca="1" si="7"/>
        <v>98</v>
      </c>
      <c r="J28">
        <f t="shared" ca="1" si="8"/>
        <v>105</v>
      </c>
    </row>
    <row r="29" spans="1:10" x14ac:dyDescent="0.3">
      <c r="A29">
        <v>28</v>
      </c>
      <c r="B29">
        <f t="shared" ca="1" si="0"/>
        <v>73.400000000000006</v>
      </c>
      <c r="C29">
        <f t="shared" ca="1" si="3"/>
        <v>68.466666666666669</v>
      </c>
      <c r="D29">
        <f t="shared" ca="1" si="4"/>
        <v>65.771428571428572</v>
      </c>
      <c r="E29">
        <f t="shared" ca="1" si="1"/>
        <v>99</v>
      </c>
      <c r="F29">
        <f t="shared" ca="1" si="5"/>
        <v>1.3451854182690985</v>
      </c>
      <c r="G29">
        <f t="shared" ca="1" si="6"/>
        <v>100.14285714285714</v>
      </c>
      <c r="H29">
        <f t="shared" ca="1" si="2"/>
        <v>105</v>
      </c>
      <c r="I29">
        <f t="shared" ca="1" si="7"/>
        <v>96</v>
      </c>
      <c r="J29">
        <f t="shared" ca="1" si="8"/>
        <v>105</v>
      </c>
    </row>
    <row r="30" spans="1:10" x14ac:dyDescent="0.3">
      <c r="A30">
        <v>29</v>
      </c>
      <c r="B30">
        <f t="shared" ca="1" si="0"/>
        <v>67.2</v>
      </c>
      <c r="C30">
        <f t="shared" ca="1" si="3"/>
        <v>72.266666666666666</v>
      </c>
      <c r="D30">
        <f t="shared" ca="1" si="4"/>
        <v>67.428571428571431</v>
      </c>
      <c r="E30">
        <f t="shared" ca="1" si="1"/>
        <v>100</v>
      </c>
      <c r="F30">
        <f t="shared" ca="1" si="5"/>
        <v>1.1126972805283737</v>
      </c>
      <c r="G30">
        <f t="shared" ca="1" si="6"/>
        <v>99.714285714285708</v>
      </c>
      <c r="H30">
        <f t="shared" ca="1" si="2"/>
        <v>95</v>
      </c>
      <c r="I30">
        <f t="shared" ca="1" si="7"/>
        <v>96</v>
      </c>
      <c r="J30">
        <f t="shared" ca="1" si="8"/>
        <v>105</v>
      </c>
    </row>
    <row r="31" spans="1:10" x14ac:dyDescent="0.3">
      <c r="A31">
        <v>30</v>
      </c>
      <c r="B31">
        <f t="shared" ca="1" si="0"/>
        <v>76</v>
      </c>
      <c r="C31">
        <f t="shared" ca="1" si="3"/>
        <v>70.399999999999991</v>
      </c>
      <c r="D31">
        <f t="shared" ca="1" si="4"/>
        <v>68.514285714285705</v>
      </c>
      <c r="E31">
        <f t="shared" ca="1" si="1"/>
        <v>100</v>
      </c>
      <c r="F31">
        <f t="shared" ca="1" si="5"/>
        <v>1.0690449676496976</v>
      </c>
      <c r="G31">
        <f t="shared" ca="1" si="6"/>
        <v>99.857142857142861</v>
      </c>
      <c r="H31">
        <f t="shared" ca="1" si="2"/>
        <v>105</v>
      </c>
      <c r="I31">
        <f t="shared" ca="1" si="7"/>
        <v>95</v>
      </c>
      <c r="J31">
        <f t="shared" ca="1" si="8"/>
        <v>105</v>
      </c>
    </row>
    <row r="32" spans="1:10" x14ac:dyDescent="0.3">
      <c r="A32">
        <v>31</v>
      </c>
      <c r="B32">
        <f t="shared" ca="1" si="0"/>
        <v>81.8</v>
      </c>
      <c r="C32">
        <f t="shared" ca="1" si="3"/>
        <v>72.2</v>
      </c>
      <c r="D32">
        <f t="shared" ca="1" si="4"/>
        <v>69.885714285714286</v>
      </c>
      <c r="E32">
        <f ca="1" xml:space="preserve"> 100 + RANDBETWEEN(-18, 18)</f>
        <v>88</v>
      </c>
      <c r="F32">
        <f t="shared" ca="1" si="5"/>
        <v>1.0690449676496976</v>
      </c>
      <c r="G32">
        <f t="shared" ca="1" si="6"/>
        <v>99.857142857142861</v>
      </c>
      <c r="H32">
        <f t="shared" ca="1" si="2"/>
        <v>101</v>
      </c>
      <c r="I32">
        <f t="shared" ca="1" si="7"/>
        <v>95</v>
      </c>
      <c r="J32">
        <f t="shared" ca="1" si="8"/>
        <v>105</v>
      </c>
    </row>
    <row r="33" spans="1:10" x14ac:dyDescent="0.3">
      <c r="A33">
        <v>32</v>
      </c>
      <c r="B33">
        <f t="shared" ca="1" si="0"/>
        <v>83.6</v>
      </c>
      <c r="C33">
        <f t="shared" ca="1" si="3"/>
        <v>75</v>
      </c>
      <c r="D33">
        <f t="shared" ca="1" si="4"/>
        <v>71.971428571428575</v>
      </c>
      <c r="E33">
        <f t="shared" ref="E33:E61" ca="1" si="9" xml:space="preserve"> 100 + RANDBETWEEN(-18, 18)</f>
        <v>93</v>
      </c>
      <c r="F33">
        <f t="shared" ca="1" si="5"/>
        <v>4.5981362684088802</v>
      </c>
      <c r="G33">
        <f t="shared" ca="1" si="6"/>
        <v>98.142857142857139</v>
      </c>
      <c r="H33">
        <f t="shared" ca="1" si="2"/>
        <v>96</v>
      </c>
      <c r="I33">
        <f t="shared" ca="1" si="7"/>
        <v>95</v>
      </c>
      <c r="J33">
        <f t="shared" ca="1" si="8"/>
        <v>105</v>
      </c>
    </row>
    <row r="34" spans="1:10" x14ac:dyDescent="0.3">
      <c r="A34">
        <v>33</v>
      </c>
      <c r="B34">
        <f t="shared" ca="1" si="0"/>
        <v>73.400000000000006</v>
      </c>
      <c r="C34">
        <f t="shared" ca="1" si="3"/>
        <v>80.466666666666669</v>
      </c>
      <c r="D34">
        <f t="shared" ca="1" si="4"/>
        <v>75.05714285714285</v>
      </c>
      <c r="E34">
        <f t="shared" ca="1" si="9"/>
        <v>85</v>
      </c>
      <c r="F34">
        <f t="shared" ca="1" si="5"/>
        <v>4.7609522856952333</v>
      </c>
      <c r="G34">
        <f t="shared" ca="1" si="6"/>
        <v>97</v>
      </c>
      <c r="H34">
        <f t="shared" ca="1" si="2"/>
        <v>104</v>
      </c>
      <c r="I34">
        <f t="shared" ca="1" si="7"/>
        <v>95</v>
      </c>
      <c r="J34">
        <f t="shared" ca="1" si="8"/>
        <v>105</v>
      </c>
    </row>
    <row r="35" spans="1:10" x14ac:dyDescent="0.3">
      <c r="A35">
        <v>34</v>
      </c>
      <c r="B35">
        <f t="shared" ca="1" si="0"/>
        <v>84.2</v>
      </c>
      <c r="C35">
        <f t="shared" ca="1" si="3"/>
        <v>79.599999999999994</v>
      </c>
      <c r="D35">
        <f t="shared" ca="1" si="4"/>
        <v>75.142857142857139</v>
      </c>
      <c r="E35">
        <f t="shared" ca="1" si="9"/>
        <v>105</v>
      </c>
      <c r="F35">
        <f t="shared" ca="1" si="5"/>
        <v>6.1566843271977092</v>
      </c>
      <c r="G35">
        <f t="shared" ca="1" si="6"/>
        <v>94.714285714285708</v>
      </c>
      <c r="H35">
        <f ca="1">125 + RANDBETWEEN(-3, 3)</f>
        <v>125</v>
      </c>
      <c r="I35">
        <f t="shared" ca="1" si="7"/>
        <v>95</v>
      </c>
      <c r="J35">
        <f t="shared" ca="1" si="8"/>
        <v>105</v>
      </c>
    </row>
    <row r="36" spans="1:10" x14ac:dyDescent="0.3">
      <c r="A36">
        <v>35</v>
      </c>
      <c r="B36">
        <f t="shared" ca="1" si="0"/>
        <v>82</v>
      </c>
      <c r="C36">
        <f t="shared" ca="1" si="3"/>
        <v>80.399999999999991</v>
      </c>
      <c r="D36">
        <f t="shared" ca="1" si="4"/>
        <v>77.085714285714289</v>
      </c>
      <c r="E36">
        <f t="shared" ca="1" si="9"/>
        <v>89</v>
      </c>
      <c r="F36">
        <f t="shared" ca="1" si="5"/>
        <v>7.250615737399726</v>
      </c>
      <c r="G36">
        <f t="shared" ca="1" si="6"/>
        <v>95.714285714285708</v>
      </c>
      <c r="H36">
        <f t="shared" ref="H36:H45" ca="1" si="10">125 + RANDBETWEEN(-3, 3)</f>
        <v>123</v>
      </c>
      <c r="I36">
        <f t="shared" ca="1" si="7"/>
        <v>95</v>
      </c>
      <c r="J36">
        <f t="shared" ca="1" si="8"/>
        <v>125</v>
      </c>
    </row>
    <row r="37" spans="1:10" x14ac:dyDescent="0.3">
      <c r="A37">
        <v>36</v>
      </c>
      <c r="B37">
        <f t="shared" ca="1" si="0"/>
        <v>84.8</v>
      </c>
      <c r="C37">
        <f t="shared" ca="1" si="3"/>
        <v>79.866666666666674</v>
      </c>
      <c r="D37">
        <f t="shared" ca="1" si="4"/>
        <v>78.314285714285717</v>
      </c>
      <c r="E37">
        <f t="shared" ca="1" si="9"/>
        <v>113</v>
      </c>
      <c r="F37">
        <f t="shared" ca="1" si="5"/>
        <v>7.4769487028307147</v>
      </c>
      <c r="G37">
        <f t="shared" ca="1" si="6"/>
        <v>94.285714285714292</v>
      </c>
      <c r="H37">
        <f t="shared" ca="1" si="10"/>
        <v>128</v>
      </c>
      <c r="I37">
        <f t="shared" ca="1" si="7"/>
        <v>95</v>
      </c>
      <c r="J37">
        <f t="shared" ca="1" si="8"/>
        <v>125</v>
      </c>
    </row>
    <row r="38" spans="1:10" x14ac:dyDescent="0.3">
      <c r="A38">
        <v>37</v>
      </c>
      <c r="B38">
        <f t="shared" ca="1" si="0"/>
        <v>71.599999999999994</v>
      </c>
      <c r="C38">
        <f t="shared" ca="1" si="3"/>
        <v>83.666666666666671</v>
      </c>
      <c r="D38">
        <f t="shared" ca="1" si="4"/>
        <v>80.828571428571422</v>
      </c>
      <c r="E38">
        <f t="shared" ca="1" si="9"/>
        <v>109</v>
      </c>
      <c r="F38">
        <f t="shared" ca="1" si="5"/>
        <v>10.237652260627131</v>
      </c>
      <c r="G38">
        <f t="shared" ca="1" si="6"/>
        <v>96.142857142857139</v>
      </c>
      <c r="H38">
        <f t="shared" ca="1" si="10"/>
        <v>126</v>
      </c>
      <c r="I38">
        <f t="shared" ca="1" si="7"/>
        <v>95</v>
      </c>
      <c r="J38">
        <f t="shared" ca="1" si="8"/>
        <v>128</v>
      </c>
    </row>
    <row r="39" spans="1:10" x14ac:dyDescent="0.3">
      <c r="A39">
        <v>38</v>
      </c>
      <c r="B39">
        <f t="shared" ca="1" si="0"/>
        <v>83.4</v>
      </c>
      <c r="C39">
        <f t="shared" ca="1" si="3"/>
        <v>79.466666666666669</v>
      </c>
      <c r="D39">
        <f t="shared" ca="1" si="4"/>
        <v>80.2</v>
      </c>
      <c r="E39">
        <f t="shared" ca="1" si="9"/>
        <v>112</v>
      </c>
      <c r="F39">
        <f t="shared" ca="1" si="5"/>
        <v>11.311603818750974</v>
      </c>
      <c r="G39">
        <f t="shared" ca="1" si="6"/>
        <v>97.428571428571431</v>
      </c>
      <c r="H39">
        <f t="shared" ca="1" si="10"/>
        <v>122</v>
      </c>
      <c r="I39">
        <f t="shared" ca="1" si="7"/>
        <v>95</v>
      </c>
      <c r="J39">
        <f t="shared" ca="1" si="8"/>
        <v>128</v>
      </c>
    </row>
    <row r="40" spans="1:10" x14ac:dyDescent="0.3">
      <c r="A40">
        <v>39</v>
      </c>
      <c r="B40">
        <f t="shared" ca="1" si="0"/>
        <v>73.2</v>
      </c>
      <c r="C40">
        <f t="shared" ca="1" si="3"/>
        <v>79.933333333333323</v>
      </c>
      <c r="D40">
        <f t="shared" ca="1" si="4"/>
        <v>80.428571428571431</v>
      </c>
      <c r="E40">
        <f t="shared" ca="1" si="9"/>
        <v>108</v>
      </c>
      <c r="F40">
        <f t="shared" ca="1" si="5"/>
        <v>11.610750355146052</v>
      </c>
      <c r="G40">
        <f t="shared" ca="1" si="6"/>
        <v>100.85714285714286</v>
      </c>
      <c r="H40">
        <f t="shared" ca="1" si="10"/>
        <v>124</v>
      </c>
      <c r="I40">
        <f t="shared" ca="1" si="7"/>
        <v>95</v>
      </c>
      <c r="J40">
        <f t="shared" ca="1" si="8"/>
        <v>128</v>
      </c>
    </row>
    <row r="41" spans="1:10" x14ac:dyDescent="0.3">
      <c r="A41">
        <v>40</v>
      </c>
      <c r="B41">
        <f t="shared" ca="1" si="0"/>
        <v>83</v>
      </c>
      <c r="C41">
        <f t="shared" ca="1" si="3"/>
        <v>76.066666666666663</v>
      </c>
      <c r="D41">
        <f t="shared" ca="1" si="4"/>
        <v>78.94285714285715</v>
      </c>
      <c r="E41">
        <f t="shared" ca="1" si="9"/>
        <v>114</v>
      </c>
      <c r="F41">
        <f t="shared" ca="1" si="5"/>
        <v>11.298967504452195</v>
      </c>
      <c r="G41">
        <f t="shared" ca="1" si="6"/>
        <v>103</v>
      </c>
      <c r="H41">
        <f t="shared" ca="1" si="10"/>
        <v>127</v>
      </c>
      <c r="I41">
        <f t="shared" ca="1" si="7"/>
        <v>96</v>
      </c>
      <c r="J41">
        <f t="shared" ca="1" si="8"/>
        <v>128</v>
      </c>
    </row>
    <row r="42" spans="1:10" x14ac:dyDescent="0.3">
      <c r="A42">
        <v>41</v>
      </c>
      <c r="B42">
        <f t="shared" ca="1" si="0"/>
        <v>78.800000000000011</v>
      </c>
      <c r="C42">
        <f t="shared" ca="1" si="3"/>
        <v>79.866666666666674</v>
      </c>
      <c r="D42">
        <f t="shared" ca="1" si="4"/>
        <v>80.314285714285717</v>
      </c>
      <c r="E42">
        <f t="shared" ca="1" si="9"/>
        <v>98</v>
      </c>
      <c r="F42">
        <f t="shared" ca="1" si="5"/>
        <v>8.5912469298422458</v>
      </c>
      <c r="G42">
        <f t="shared" ca="1" si="6"/>
        <v>107.14285714285714</v>
      </c>
      <c r="H42">
        <f t="shared" ca="1" si="10"/>
        <v>124</v>
      </c>
      <c r="I42">
        <f t="shared" ca="1" si="7"/>
        <v>96</v>
      </c>
      <c r="J42">
        <f t="shared" ca="1" si="8"/>
        <v>128</v>
      </c>
    </row>
    <row r="43" spans="1:10" x14ac:dyDescent="0.3">
      <c r="A43">
        <v>42</v>
      </c>
      <c r="B43">
        <f t="shared" ca="1" si="0"/>
        <v>85.6</v>
      </c>
      <c r="C43">
        <f t="shared" ca="1" si="3"/>
        <v>78.333333333333329</v>
      </c>
      <c r="D43">
        <f t="shared" ca="1" si="4"/>
        <v>79.54285714285713</v>
      </c>
      <c r="E43">
        <f t="shared" ca="1" si="9"/>
        <v>105</v>
      </c>
      <c r="F43">
        <f t="shared" ca="1" si="5"/>
        <v>9.2633430147827198</v>
      </c>
      <c r="G43">
        <f t="shared" ca="1" si="6"/>
        <v>106.14285714285714</v>
      </c>
      <c r="H43">
        <f t="shared" ca="1" si="10"/>
        <v>122</v>
      </c>
      <c r="I43">
        <f t="shared" ca="1" si="7"/>
        <v>96</v>
      </c>
      <c r="J43">
        <f t="shared" ca="1" si="8"/>
        <v>128</v>
      </c>
    </row>
    <row r="44" spans="1:10" x14ac:dyDescent="0.3">
      <c r="A44">
        <v>43</v>
      </c>
      <c r="B44">
        <f t="shared" ca="1" si="0"/>
        <v>80.400000000000006</v>
      </c>
      <c r="C44">
        <f t="shared" ca="1" si="3"/>
        <v>82.466666666666669</v>
      </c>
      <c r="D44">
        <f t="shared" ca="1" si="4"/>
        <v>80.05714285714285</v>
      </c>
      <c r="E44">
        <f t="shared" ca="1" si="9"/>
        <v>108</v>
      </c>
      <c r="F44">
        <f t="shared" ca="1" si="5"/>
        <v>5.5634864026418676</v>
      </c>
      <c r="G44">
        <f t="shared" ca="1" si="6"/>
        <v>108.42857142857143</v>
      </c>
      <c r="H44">
        <f t="shared" ca="1" si="10"/>
        <v>124</v>
      </c>
      <c r="I44">
        <f t="shared" ca="1" si="7"/>
        <v>104</v>
      </c>
      <c r="J44">
        <f t="shared" ca="1" si="8"/>
        <v>128</v>
      </c>
    </row>
    <row r="45" spans="1:10" x14ac:dyDescent="0.3">
      <c r="A45">
        <v>44</v>
      </c>
      <c r="B45">
        <f t="shared" ca="1" si="0"/>
        <v>86.2</v>
      </c>
      <c r="C45">
        <f t="shared" ca="1" si="3"/>
        <v>81.600000000000009</v>
      </c>
      <c r="D45">
        <f t="shared" ca="1" si="4"/>
        <v>79.428571428571431</v>
      </c>
      <c r="E45">
        <f t="shared" ca="1" si="9"/>
        <v>112</v>
      </c>
      <c r="F45">
        <f t="shared" ca="1" si="5"/>
        <v>5.1869800370506445</v>
      </c>
      <c r="G45">
        <f t="shared" ca="1" si="6"/>
        <v>107.71428571428571</v>
      </c>
      <c r="H45">
        <f t="shared" ca="1" si="10"/>
        <v>127</v>
      </c>
      <c r="I45">
        <f t="shared" ca="1" si="7"/>
        <v>122</v>
      </c>
      <c r="J45">
        <f t="shared" ca="1" si="8"/>
        <v>128</v>
      </c>
    </row>
    <row r="46" spans="1:10" x14ac:dyDescent="0.3">
      <c r="A46">
        <v>45</v>
      </c>
      <c r="B46">
        <f t="shared" ca="1" si="0"/>
        <v>87</v>
      </c>
      <c r="C46">
        <f t="shared" ca="1" si="3"/>
        <v>84.066666666666663</v>
      </c>
      <c r="D46">
        <f t="shared" ca="1" si="4"/>
        <v>81.51428571428572</v>
      </c>
      <c r="E46">
        <f t="shared" ca="1" si="9"/>
        <v>82</v>
      </c>
      <c r="F46">
        <f t="shared" ca="1" si="5"/>
        <v>5.4291979588324528</v>
      </c>
      <c r="G46">
        <f t="shared" ca="1" si="6"/>
        <v>108.14285714285714</v>
      </c>
      <c r="H46">
        <f t="shared" ref="H4:H61" ca="1" si="11">H45 + RANDBETWEEN(-1, 2)</f>
        <v>126</v>
      </c>
      <c r="I46">
        <f t="shared" ca="1" si="7"/>
        <v>122</v>
      </c>
      <c r="J46">
        <f t="shared" ca="1" si="8"/>
        <v>128</v>
      </c>
    </row>
    <row r="47" spans="1:10" x14ac:dyDescent="0.3">
      <c r="A47">
        <v>46</v>
      </c>
      <c r="B47">
        <f t="shared" ca="1" si="0"/>
        <v>88.800000000000011</v>
      </c>
      <c r="C47">
        <f t="shared" ca="1" si="3"/>
        <v>84.533333333333346</v>
      </c>
      <c r="D47">
        <f t="shared" ca="1" si="4"/>
        <v>82.028571428571439</v>
      </c>
      <c r="E47">
        <f t="shared" ca="1" si="9"/>
        <v>85</v>
      </c>
      <c r="F47">
        <f t="shared" ca="1" si="5"/>
        <v>10.930516478016511</v>
      </c>
      <c r="G47">
        <f t="shared" ca="1" si="6"/>
        <v>103.85714285714286</v>
      </c>
      <c r="H47">
        <f ca="1">90 + RANDBETWEEN(-4, 4)</f>
        <v>88</v>
      </c>
      <c r="I47">
        <f t="shared" ca="1" si="7"/>
        <v>122</v>
      </c>
      <c r="J47">
        <f t="shared" ca="1" si="8"/>
        <v>128</v>
      </c>
    </row>
    <row r="48" spans="1:10" x14ac:dyDescent="0.3">
      <c r="A48">
        <v>47</v>
      </c>
      <c r="B48">
        <f t="shared" ca="1" si="0"/>
        <v>81.599999999999994</v>
      </c>
      <c r="C48">
        <f t="shared" ca="1" si="3"/>
        <v>87.333333333333329</v>
      </c>
      <c r="D48">
        <f t="shared" ca="1" si="4"/>
        <v>84.257142857142853</v>
      </c>
      <c r="E48">
        <f t="shared" ca="1" si="9"/>
        <v>118</v>
      </c>
      <c r="F48">
        <f t="shared" ca="1" si="5"/>
        <v>12.77832987075052</v>
      </c>
      <c r="G48">
        <f t="shared" ca="1" si="6"/>
        <v>100.57142857142857</v>
      </c>
      <c r="H48">
        <f t="shared" ref="H48:H61" ca="1" si="12">90 + RANDBETWEEN(-4, 4)</f>
        <v>86</v>
      </c>
      <c r="I48">
        <f t="shared" ca="1" si="7"/>
        <v>88</v>
      </c>
      <c r="J48">
        <f t="shared" ca="1" si="8"/>
        <v>127</v>
      </c>
    </row>
    <row r="49" spans="1:10" x14ac:dyDescent="0.3">
      <c r="A49">
        <v>48</v>
      </c>
      <c r="B49">
        <f t="shared" ca="1" si="0"/>
        <v>94.4</v>
      </c>
      <c r="C49">
        <f t="shared" ca="1" si="3"/>
        <v>85.8</v>
      </c>
      <c r="D49">
        <f t="shared" ca="1" si="4"/>
        <v>84.05714285714285</v>
      </c>
      <c r="E49">
        <f t="shared" ca="1" si="9"/>
        <v>102</v>
      </c>
      <c r="F49">
        <f t="shared" ca="1" si="5"/>
        <v>13.545338330074699</v>
      </c>
      <c r="G49">
        <f t="shared" ca="1" si="6"/>
        <v>101.14285714285714</v>
      </c>
      <c r="H49">
        <f t="shared" ca="1" si="12"/>
        <v>91</v>
      </c>
      <c r="I49">
        <f t="shared" ca="1" si="7"/>
        <v>86</v>
      </c>
      <c r="J49">
        <f t="shared" ca="1" si="8"/>
        <v>127</v>
      </c>
    </row>
    <row r="50" spans="1:10" x14ac:dyDescent="0.3">
      <c r="A50">
        <v>49</v>
      </c>
      <c r="B50">
        <f t="shared" ca="1" si="0"/>
        <v>88.2</v>
      </c>
      <c r="C50">
        <f t="shared" ca="1" si="3"/>
        <v>88.266666666666666</v>
      </c>
      <c r="D50">
        <f t="shared" ca="1" si="4"/>
        <v>86.285714285714292</v>
      </c>
      <c r="E50">
        <f t="shared" ca="1" si="9"/>
        <v>104</v>
      </c>
      <c r="F50">
        <f t="shared" ca="1" si="5"/>
        <v>13.474844287464977</v>
      </c>
      <c r="G50">
        <f t="shared" ca="1" si="6"/>
        <v>101.71428571428571</v>
      </c>
      <c r="H50">
        <f t="shared" ca="1" si="12"/>
        <v>89</v>
      </c>
      <c r="I50">
        <f t="shared" ca="1" si="7"/>
        <v>86</v>
      </c>
      <c r="J50">
        <f t="shared" ca="1" si="8"/>
        <v>127</v>
      </c>
    </row>
    <row r="51" spans="1:10" x14ac:dyDescent="0.3">
      <c r="A51">
        <v>50</v>
      </c>
      <c r="B51">
        <f t="shared" ca="1" si="0"/>
        <v>95</v>
      </c>
      <c r="C51">
        <f t="shared" ca="1" si="3"/>
        <v>88.066666666666663</v>
      </c>
      <c r="D51">
        <f t="shared" ca="1" si="4"/>
        <v>86.657142857142858</v>
      </c>
      <c r="E51">
        <f t="shared" ca="1" si="9"/>
        <v>95</v>
      </c>
      <c r="F51">
        <f t="shared" ca="1" si="5"/>
        <v>13.439458605875771</v>
      </c>
      <c r="G51">
        <f t="shared" ca="1" si="6"/>
        <v>101.57142857142857</v>
      </c>
      <c r="H51">
        <f t="shared" ca="1" si="12"/>
        <v>90</v>
      </c>
      <c r="I51">
        <f t="shared" ca="1" si="7"/>
        <v>86</v>
      </c>
      <c r="J51">
        <f t="shared" ca="1" si="8"/>
        <v>127</v>
      </c>
    </row>
    <row r="52" spans="1:10" x14ac:dyDescent="0.3">
      <c r="A52">
        <v>51</v>
      </c>
      <c r="B52">
        <f t="shared" ca="1" si="0"/>
        <v>96.800000000000011</v>
      </c>
      <c r="C52">
        <f t="shared" ca="1" si="3"/>
        <v>92.533333333333346</v>
      </c>
      <c r="D52">
        <f t="shared" ca="1" si="4"/>
        <v>88.742857142857147</v>
      </c>
      <c r="E52">
        <f t="shared" ca="1" si="9"/>
        <v>101</v>
      </c>
      <c r="F52">
        <f t="shared" ca="1" si="5"/>
        <v>13.30055494724791</v>
      </c>
      <c r="G52">
        <f t="shared" ca="1" si="6"/>
        <v>99.714285714285708</v>
      </c>
      <c r="H52">
        <f t="shared" ca="1" si="12"/>
        <v>91</v>
      </c>
      <c r="I52">
        <f t="shared" ca="1" si="7"/>
        <v>86</v>
      </c>
      <c r="J52">
        <f t="shared" ca="1" si="8"/>
        <v>127</v>
      </c>
    </row>
    <row r="53" spans="1:10" x14ac:dyDescent="0.3">
      <c r="A53">
        <v>52</v>
      </c>
      <c r="B53">
        <f t="shared" ca="1" si="0"/>
        <v>89.6</v>
      </c>
      <c r="C53">
        <f t="shared" ca="1" si="3"/>
        <v>93.333333333333329</v>
      </c>
      <c r="D53">
        <f t="shared" ca="1" si="4"/>
        <v>90.257142857142853</v>
      </c>
      <c r="E53">
        <f t="shared" ca="1" si="9"/>
        <v>88</v>
      </c>
      <c r="F53">
        <f t="shared" ca="1" si="5"/>
        <v>12.212405870378591</v>
      </c>
      <c r="G53">
        <f t="shared" ca="1" si="6"/>
        <v>98.142857142857139</v>
      </c>
      <c r="H53">
        <f t="shared" ca="1" si="12"/>
        <v>89</v>
      </c>
      <c r="I53">
        <f t="shared" ca="1" si="7"/>
        <v>86</v>
      </c>
      <c r="J53">
        <f t="shared" ca="1" si="8"/>
        <v>127</v>
      </c>
    </row>
    <row r="54" spans="1:10" x14ac:dyDescent="0.3">
      <c r="A54">
        <v>53</v>
      </c>
      <c r="B54">
        <f t="shared" ca="1" si="0"/>
        <v>91.4</v>
      </c>
      <c r="C54">
        <f t="shared" ca="1" si="3"/>
        <v>93.8</v>
      </c>
      <c r="D54">
        <f t="shared" ca="1" si="4"/>
        <v>90.628571428571419</v>
      </c>
      <c r="E54">
        <f t="shared" ca="1" si="9"/>
        <v>86</v>
      </c>
      <c r="F54">
        <f t="shared" ca="1" si="5"/>
        <v>11.045361017187261</v>
      </c>
      <c r="G54">
        <f t="shared" ca="1" si="6"/>
        <v>99</v>
      </c>
      <c r="H54">
        <f t="shared" ca="1" si="12"/>
        <v>91</v>
      </c>
      <c r="I54">
        <f t="shared" ca="1" si="7"/>
        <v>86</v>
      </c>
      <c r="J54">
        <f t="shared" ca="1" si="8"/>
        <v>127</v>
      </c>
    </row>
    <row r="55" spans="1:10" x14ac:dyDescent="0.3">
      <c r="A55">
        <v>54</v>
      </c>
      <c r="B55">
        <f t="shared" ca="1" si="0"/>
        <v>91.2</v>
      </c>
      <c r="C55">
        <f t="shared" ca="1" si="3"/>
        <v>92.600000000000009</v>
      </c>
      <c r="D55">
        <f t="shared" ca="1" si="4"/>
        <v>91</v>
      </c>
      <c r="E55">
        <f t="shared" ca="1" si="9"/>
        <v>84</v>
      </c>
      <c r="F55">
        <f t="shared" ca="1" si="5"/>
        <v>10.838643387259811</v>
      </c>
      <c r="G55">
        <f t="shared" ca="1" si="6"/>
        <v>99.142857142857139</v>
      </c>
      <c r="H55">
        <f t="shared" ca="1" si="12"/>
        <v>87</v>
      </c>
      <c r="I55">
        <f t="shared" ca="1" si="7"/>
        <v>86</v>
      </c>
      <c r="J55">
        <f t="shared" ca="1" si="8"/>
        <v>127</v>
      </c>
    </row>
    <row r="56" spans="1:10" x14ac:dyDescent="0.3">
      <c r="A56">
        <v>55</v>
      </c>
      <c r="B56">
        <f t="shared" ca="1" si="0"/>
        <v>97</v>
      </c>
      <c r="C56">
        <f t="shared" ca="1" si="3"/>
        <v>90.733333333333334</v>
      </c>
      <c r="D56">
        <f t="shared" ca="1" si="4"/>
        <v>92.371428571428581</v>
      </c>
      <c r="E56">
        <f t="shared" ca="1" si="9"/>
        <v>111</v>
      </c>
      <c r="F56">
        <f t="shared" ca="1" si="5"/>
        <v>8.3008892237375331</v>
      </c>
      <c r="G56">
        <f t="shared" ca="1" si="6"/>
        <v>94.285714285714292</v>
      </c>
      <c r="H56">
        <f t="shared" ca="1" si="12"/>
        <v>86</v>
      </c>
      <c r="I56">
        <f t="shared" ca="1" si="7"/>
        <v>86</v>
      </c>
      <c r="J56">
        <f t="shared" ca="1" si="8"/>
        <v>126</v>
      </c>
    </row>
    <row r="57" spans="1:10" x14ac:dyDescent="0.3">
      <c r="A57">
        <v>56</v>
      </c>
      <c r="B57">
        <f t="shared" ca="1" si="0"/>
        <v>92.800000000000011</v>
      </c>
      <c r="C57">
        <f t="shared" ca="1" si="3"/>
        <v>93.2</v>
      </c>
      <c r="D57">
        <f t="shared" ca="1" si="4"/>
        <v>92.742857142857147</v>
      </c>
      <c r="E57">
        <f t="shared" ca="1" si="9"/>
        <v>93</v>
      </c>
      <c r="F57">
        <f t="shared" ca="1" si="5"/>
        <v>10.179344164485629</v>
      </c>
      <c r="G57">
        <f t="shared" ca="1" si="6"/>
        <v>95.571428571428569</v>
      </c>
      <c r="H57">
        <f t="shared" ca="1" si="12"/>
        <v>91</v>
      </c>
      <c r="I57">
        <f t="shared" ca="1" si="7"/>
        <v>86</v>
      </c>
      <c r="J57">
        <f t="shared" ca="1" si="8"/>
        <v>91</v>
      </c>
    </row>
    <row r="58" spans="1:10" x14ac:dyDescent="0.3">
      <c r="A58">
        <v>57</v>
      </c>
      <c r="B58">
        <f t="shared" ca="1" si="0"/>
        <v>99.6</v>
      </c>
      <c r="C58">
        <f t="shared" ca="1" si="3"/>
        <v>93.666666666666671</v>
      </c>
      <c r="D58">
        <f t="shared" ca="1" si="4"/>
        <v>93.399999999999991</v>
      </c>
      <c r="E58">
        <f t="shared" ca="1" si="9"/>
        <v>102</v>
      </c>
      <c r="F58">
        <f t="shared" ca="1" si="5"/>
        <v>9.4868329805051381</v>
      </c>
      <c r="G58">
        <f t="shared" ca="1" si="6"/>
        <v>94</v>
      </c>
      <c r="H58">
        <f t="shared" ca="1" si="12"/>
        <v>87</v>
      </c>
      <c r="I58">
        <f t="shared" ca="1" si="7"/>
        <v>86</v>
      </c>
      <c r="J58">
        <f t="shared" ca="1" si="8"/>
        <v>91</v>
      </c>
    </row>
    <row r="59" spans="1:10" x14ac:dyDescent="0.3">
      <c r="A59">
        <v>58</v>
      </c>
      <c r="B59">
        <f t="shared" ca="1" si="0"/>
        <v>89.4</v>
      </c>
      <c r="C59">
        <f t="shared" ca="1" si="3"/>
        <v>96.466666666666654</v>
      </c>
      <c r="D59">
        <f t="shared" ca="1" si="4"/>
        <v>94.05714285714285</v>
      </c>
      <c r="E59">
        <f t="shared" ca="1" si="9"/>
        <v>91</v>
      </c>
      <c r="F59">
        <f t="shared" ca="1" si="5"/>
        <v>9.966610925150702</v>
      </c>
      <c r="G59">
        <f t="shared" ca="1" si="6"/>
        <v>95</v>
      </c>
      <c r="H59">
        <f t="shared" ca="1" si="12"/>
        <v>92</v>
      </c>
      <c r="I59">
        <f t="shared" ca="1" si="7"/>
        <v>86</v>
      </c>
      <c r="J59">
        <f t="shared" ca="1" si="8"/>
        <v>91</v>
      </c>
    </row>
    <row r="60" spans="1:10" x14ac:dyDescent="0.3">
      <c r="A60">
        <v>59</v>
      </c>
      <c r="B60">
        <f t="shared" ca="1" si="0"/>
        <v>97.2</v>
      </c>
      <c r="C60">
        <f t="shared" ca="1" si="3"/>
        <v>93.933333333333337</v>
      </c>
      <c r="D60">
        <f t="shared" ca="1" si="4"/>
        <v>93</v>
      </c>
      <c r="E60">
        <f t="shared" ca="1" si="9"/>
        <v>91</v>
      </c>
      <c r="F60">
        <f t="shared" ca="1" si="5"/>
        <v>9.6756936505372888</v>
      </c>
      <c r="G60">
        <f t="shared" ca="1" si="6"/>
        <v>93.571428571428569</v>
      </c>
      <c r="H60">
        <f t="shared" ca="1" si="12"/>
        <v>92</v>
      </c>
      <c r="I60">
        <f t="shared" ca="1" si="7"/>
        <v>86</v>
      </c>
      <c r="J60">
        <f t="shared" ca="1" si="8"/>
        <v>92</v>
      </c>
    </row>
    <row r="61" spans="1:10" x14ac:dyDescent="0.3">
      <c r="A61">
        <v>60</v>
      </c>
      <c r="B61">
        <f t="shared" ca="1" si="0"/>
        <v>106</v>
      </c>
      <c r="C61">
        <f t="shared" ca="1" si="3"/>
        <v>95.399999999999991</v>
      </c>
      <c r="D61">
        <f t="shared" ca="1" si="4"/>
        <v>94.085714285714289</v>
      </c>
      <c r="E61">
        <f t="shared" ca="1" si="9"/>
        <v>111</v>
      </c>
      <c r="F61">
        <f t="shared" ca="1" si="5"/>
        <v>9.4516312525052157</v>
      </c>
      <c r="G61">
        <f t="shared" ca="1" si="6"/>
        <v>94</v>
      </c>
      <c r="H61">
        <f t="shared" ca="1" si="12"/>
        <v>94</v>
      </c>
      <c r="I61">
        <f t="shared" ca="1" si="7"/>
        <v>86</v>
      </c>
      <c r="J61">
        <f t="shared" ca="1" si="8"/>
        <v>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15E-BD1A-4E7E-ACDD-C5D93C2DAA98}">
  <dimension ref="A1:L61"/>
  <sheetViews>
    <sheetView tabSelected="1" topLeftCell="A10" workbookViewId="0">
      <selection activeCellId="3" sqref="L1:L1048576 K1 K1:K1048576 A1:A1048576"/>
    </sheetView>
  </sheetViews>
  <sheetFormatPr defaultRowHeight="14.4" x14ac:dyDescent="0.3"/>
  <cols>
    <col min="7" max="7" width="22.33203125" bestFit="1" customWidth="1"/>
    <col min="8" max="8" width="19.21875" bestFit="1" customWidth="1"/>
    <col min="9" max="9" width="14.88671875" bestFit="1" customWidth="1"/>
    <col min="11" max="11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f ca="1">50+(A2*0.8)+RANDBETWEEN(-8,8)</f>
        <v>44.8</v>
      </c>
      <c r="E2">
        <f ca="1" xml:space="preserve"> 100 + RANDBETWEEN(-2, 2)</f>
        <v>100</v>
      </c>
      <c r="H2">
        <v>100</v>
      </c>
      <c r="K2">
        <f ca="1">RANDBETWEEN(5, 15)</f>
        <v>13</v>
      </c>
    </row>
    <row r="3" spans="1:12" x14ac:dyDescent="0.3">
      <c r="A3">
        <v>2</v>
      </c>
      <c r="B3">
        <f t="shared" ref="B3:B61" ca="1" si="0">50+(A3*0.8)+RANDBETWEEN(-8,8)</f>
        <v>44.6</v>
      </c>
      <c r="E3">
        <f t="shared" ref="E3:E31" ca="1" si="1" xml:space="preserve"> 100 + RANDBETWEEN(-2, 2)</f>
        <v>101</v>
      </c>
      <c r="H3">
        <f ca="1">H2 + RANDBETWEEN(-1, 2)</f>
        <v>101</v>
      </c>
      <c r="K3">
        <f t="shared" ref="K3:K31" ca="1" si="2">RANDBETWEEN(5, 15)</f>
        <v>13</v>
      </c>
    </row>
    <row r="4" spans="1:12" x14ac:dyDescent="0.3">
      <c r="A4">
        <v>3</v>
      </c>
      <c r="B4">
        <f t="shared" ca="1" si="0"/>
        <v>56.4</v>
      </c>
      <c r="E4">
        <f t="shared" ca="1" si="1"/>
        <v>98</v>
      </c>
      <c r="H4">
        <f ca="1">100 + RANDBETWEEN(-5, 5)</f>
        <v>103</v>
      </c>
      <c r="K4">
        <f t="shared" ca="1" si="2"/>
        <v>8</v>
      </c>
    </row>
    <row r="5" spans="1:12" x14ac:dyDescent="0.3">
      <c r="A5">
        <v>4</v>
      </c>
      <c r="B5">
        <f t="shared" ca="1" si="0"/>
        <v>48.2</v>
      </c>
      <c r="C5">
        <f ca="1">AVERAGE(B2:B4)</f>
        <v>48.6</v>
      </c>
      <c r="E5">
        <f t="shared" ca="1" si="1"/>
        <v>98</v>
      </c>
      <c r="H5">
        <f t="shared" ref="H5:H34" ca="1" si="3">100 + RANDBETWEEN(-5, 5)</f>
        <v>104</v>
      </c>
      <c r="K5">
        <f t="shared" ca="1" si="2"/>
        <v>10</v>
      </c>
    </row>
    <row r="6" spans="1:12" x14ac:dyDescent="0.3">
      <c r="A6">
        <v>5</v>
      </c>
      <c r="B6">
        <f t="shared" ca="1" si="0"/>
        <v>54</v>
      </c>
      <c r="C6">
        <f t="shared" ref="C6:C61" ca="1" si="4">AVERAGE(B3:B5)</f>
        <v>49.733333333333327</v>
      </c>
      <c r="E6">
        <f t="shared" ca="1" si="1"/>
        <v>100</v>
      </c>
      <c r="H6">
        <f t="shared" ca="1" si="3"/>
        <v>102</v>
      </c>
      <c r="K6">
        <f t="shared" ca="1" si="2"/>
        <v>8</v>
      </c>
    </row>
    <row r="7" spans="1:12" x14ac:dyDescent="0.3">
      <c r="A7">
        <v>6</v>
      </c>
      <c r="B7">
        <f t="shared" ca="1" si="0"/>
        <v>49.8</v>
      </c>
      <c r="C7">
        <f t="shared" ca="1" si="4"/>
        <v>52.866666666666667</v>
      </c>
      <c r="E7">
        <f t="shared" ca="1" si="1"/>
        <v>99</v>
      </c>
      <c r="H7">
        <f t="shared" ca="1" si="3"/>
        <v>95</v>
      </c>
      <c r="K7">
        <f t="shared" ca="1" si="2"/>
        <v>11</v>
      </c>
    </row>
    <row r="8" spans="1:12" x14ac:dyDescent="0.3">
      <c r="A8">
        <v>7</v>
      </c>
      <c r="B8">
        <f t="shared" ca="1" si="0"/>
        <v>62.6</v>
      </c>
      <c r="C8">
        <f t="shared" ca="1" si="4"/>
        <v>50.666666666666664</v>
      </c>
      <c r="E8">
        <f t="shared" ca="1" si="1"/>
        <v>99</v>
      </c>
      <c r="H8">
        <f t="shared" ca="1" si="3"/>
        <v>102</v>
      </c>
      <c r="K8">
        <f t="shared" ca="1" si="2"/>
        <v>14</v>
      </c>
    </row>
    <row r="9" spans="1:12" x14ac:dyDescent="0.3">
      <c r="A9">
        <v>8</v>
      </c>
      <c r="B9">
        <f t="shared" ca="1" si="0"/>
        <v>64.400000000000006</v>
      </c>
      <c r="C9">
        <f t="shared" ca="1" si="4"/>
        <v>55.466666666666669</v>
      </c>
      <c r="D9">
        <f ca="1">AVERAGE(B2:B8)</f>
        <v>51.485714285714288</v>
      </c>
      <c r="E9">
        <f t="shared" ca="1" si="1"/>
        <v>100</v>
      </c>
      <c r="F9">
        <f ca="1">_xlfn.STDEV.S(E2:E8)</f>
        <v>1.1126972805283737</v>
      </c>
      <c r="G9">
        <f ca="1">AVERAGE(E2:E8)</f>
        <v>99.285714285714292</v>
      </c>
      <c r="H9">
        <f t="shared" ca="1" si="3"/>
        <v>96</v>
      </c>
      <c r="K9">
        <f t="shared" ca="1" si="2"/>
        <v>13</v>
      </c>
      <c r="L9">
        <f ca="1">SUM(K2:K8)</f>
        <v>77</v>
      </c>
    </row>
    <row r="10" spans="1:12" x14ac:dyDescent="0.3">
      <c r="A10">
        <v>9</v>
      </c>
      <c r="B10">
        <f t="shared" ca="1" si="0"/>
        <v>54.2</v>
      </c>
      <c r="C10">
        <f t="shared" ca="1" si="4"/>
        <v>58.933333333333337</v>
      </c>
      <c r="D10">
        <f t="shared" ref="D10:D61" ca="1" si="5">AVERAGE(B3:B9)</f>
        <v>54.285714285714285</v>
      </c>
      <c r="E10">
        <f t="shared" ca="1" si="1"/>
        <v>100</v>
      </c>
      <c r="F10">
        <f t="shared" ref="F10:F61" ca="1" si="6">_xlfn.STDEV.S(E3:E9)</f>
        <v>1.1126972805283737</v>
      </c>
      <c r="G10">
        <f t="shared" ref="G10:G61" ca="1" si="7">AVERAGE(E3:E9)</f>
        <v>99.285714285714292</v>
      </c>
      <c r="H10">
        <f t="shared" ca="1" si="3"/>
        <v>102</v>
      </c>
      <c r="K10">
        <f t="shared" ca="1" si="2"/>
        <v>8</v>
      </c>
      <c r="L10">
        <f t="shared" ref="L10:L61" ca="1" si="8">SUM(K3:K9)</f>
        <v>77</v>
      </c>
    </row>
    <row r="11" spans="1:12" x14ac:dyDescent="0.3">
      <c r="A11">
        <v>10</v>
      </c>
      <c r="B11">
        <f t="shared" ca="1" si="0"/>
        <v>58</v>
      </c>
      <c r="C11">
        <f t="shared" ca="1" si="4"/>
        <v>60.4</v>
      </c>
      <c r="D11">
        <f t="shared" ca="1" si="5"/>
        <v>55.657142857142851</v>
      </c>
      <c r="E11">
        <f t="shared" ca="1" si="1"/>
        <v>98</v>
      </c>
      <c r="F11">
        <f t="shared" ca="1" si="6"/>
        <v>0.89973541084243747</v>
      </c>
      <c r="G11">
        <f t="shared" ca="1" si="7"/>
        <v>99.142857142857139</v>
      </c>
      <c r="H11">
        <f t="shared" ca="1" si="3"/>
        <v>96</v>
      </c>
      <c r="K11">
        <f t="shared" ca="1" si="2"/>
        <v>10</v>
      </c>
      <c r="L11">
        <f t="shared" ca="1" si="8"/>
        <v>72</v>
      </c>
    </row>
    <row r="12" spans="1:12" x14ac:dyDescent="0.3">
      <c r="A12">
        <v>11</v>
      </c>
      <c r="B12">
        <f t="shared" ca="1" si="0"/>
        <v>57.8</v>
      </c>
      <c r="C12">
        <f t="shared" ca="1" si="4"/>
        <v>58.866666666666674</v>
      </c>
      <c r="D12">
        <f t="shared" ca="1" si="5"/>
        <v>55.885714285714286</v>
      </c>
      <c r="E12">
        <f t="shared" ca="1" si="1"/>
        <v>100</v>
      </c>
      <c r="F12">
        <f t="shared" ca="1" si="6"/>
        <v>0.89973541084243747</v>
      </c>
      <c r="G12">
        <f t="shared" ca="1" si="7"/>
        <v>99.142857142857139</v>
      </c>
      <c r="H12">
        <f t="shared" ca="1" si="3"/>
        <v>100</v>
      </c>
      <c r="I12">
        <f ca="1">MIN(H2:H11)</f>
        <v>95</v>
      </c>
      <c r="J12">
        <f ca="1">MAX(H2:H11)</f>
        <v>104</v>
      </c>
      <c r="K12">
        <f t="shared" ca="1" si="2"/>
        <v>11</v>
      </c>
      <c r="L12">
        <f t="shared" ca="1" si="8"/>
        <v>74</v>
      </c>
    </row>
    <row r="13" spans="1:12" x14ac:dyDescent="0.3">
      <c r="A13">
        <v>12</v>
      </c>
      <c r="B13">
        <f t="shared" ca="1" si="0"/>
        <v>54.6</v>
      </c>
      <c r="C13">
        <f t="shared" ca="1" si="4"/>
        <v>56.666666666666664</v>
      </c>
      <c r="D13">
        <f t="shared" ca="1" si="5"/>
        <v>57.25714285714286</v>
      </c>
      <c r="E13">
        <f t="shared" ca="1" si="1"/>
        <v>98</v>
      </c>
      <c r="F13">
        <f t="shared" ca="1" si="6"/>
        <v>0.7867957924694432</v>
      </c>
      <c r="G13">
        <f t="shared" ca="1" si="7"/>
        <v>99.428571428571431</v>
      </c>
      <c r="H13">
        <f t="shared" ca="1" si="3"/>
        <v>98</v>
      </c>
      <c r="I13">
        <f t="shared" ref="I13:I61" ca="1" si="9">MIN(H3:H12)</f>
        <v>95</v>
      </c>
      <c r="J13">
        <f t="shared" ref="J13:J61" ca="1" si="10">MAX(H3:H12)</f>
        <v>104</v>
      </c>
      <c r="K13">
        <f t="shared" ca="1" si="2"/>
        <v>7</v>
      </c>
      <c r="L13">
        <f t="shared" ca="1" si="8"/>
        <v>75</v>
      </c>
    </row>
    <row r="14" spans="1:12" x14ac:dyDescent="0.3">
      <c r="A14">
        <v>13</v>
      </c>
      <c r="B14">
        <f t="shared" ca="1" si="0"/>
        <v>68.400000000000006</v>
      </c>
      <c r="C14">
        <f t="shared" ca="1" si="4"/>
        <v>56.800000000000004</v>
      </c>
      <c r="D14">
        <f t="shared" ca="1" si="5"/>
        <v>57.342857142857149</v>
      </c>
      <c r="E14">
        <f t="shared" ca="1" si="1"/>
        <v>99</v>
      </c>
      <c r="F14">
        <f t="shared" ca="1" si="6"/>
        <v>0.89973541084243747</v>
      </c>
      <c r="G14">
        <f t="shared" ca="1" si="7"/>
        <v>99.142857142857139</v>
      </c>
      <c r="H14">
        <f t="shared" ca="1" si="3"/>
        <v>97</v>
      </c>
      <c r="I14">
        <f t="shared" ca="1" si="9"/>
        <v>95</v>
      </c>
      <c r="J14">
        <f t="shared" ca="1" si="10"/>
        <v>104</v>
      </c>
      <c r="K14">
        <f t="shared" ca="1" si="2"/>
        <v>9</v>
      </c>
      <c r="L14">
        <f t="shared" ca="1" si="8"/>
        <v>74</v>
      </c>
    </row>
    <row r="15" spans="1:12" x14ac:dyDescent="0.3">
      <c r="A15">
        <v>14</v>
      </c>
      <c r="B15">
        <f t="shared" ca="1" si="0"/>
        <v>59.2</v>
      </c>
      <c r="C15">
        <f t="shared" ca="1" si="4"/>
        <v>60.266666666666673</v>
      </c>
      <c r="D15">
        <f t="shared" ca="1" si="5"/>
        <v>60</v>
      </c>
      <c r="E15">
        <f t="shared" ca="1" si="1"/>
        <v>102</v>
      </c>
      <c r="F15">
        <f t="shared" ca="1" si="6"/>
        <v>0.89973541084243747</v>
      </c>
      <c r="G15">
        <f t="shared" ca="1" si="7"/>
        <v>99.142857142857139</v>
      </c>
      <c r="H15">
        <f t="shared" ca="1" si="3"/>
        <v>105</v>
      </c>
      <c r="I15">
        <f t="shared" ca="1" si="9"/>
        <v>95</v>
      </c>
      <c r="J15">
        <f t="shared" ca="1" si="10"/>
        <v>104</v>
      </c>
      <c r="K15">
        <f t="shared" ca="1" si="2"/>
        <v>8</v>
      </c>
      <c r="L15">
        <f t="shared" ca="1" si="8"/>
        <v>72</v>
      </c>
    </row>
    <row r="16" spans="1:12" x14ac:dyDescent="0.3">
      <c r="A16">
        <v>15</v>
      </c>
      <c r="B16">
        <f t="shared" ca="1" si="0"/>
        <v>70</v>
      </c>
      <c r="C16">
        <f t="shared" ca="1" si="4"/>
        <v>60.733333333333327</v>
      </c>
      <c r="D16">
        <f t="shared" ca="1" si="5"/>
        <v>59.514285714285727</v>
      </c>
      <c r="E16">
        <f t="shared" ca="1" si="1"/>
        <v>100</v>
      </c>
      <c r="F16">
        <f t="shared" ca="1" si="6"/>
        <v>1.3972762620115438</v>
      </c>
      <c r="G16">
        <f t="shared" ca="1" si="7"/>
        <v>99.571428571428569</v>
      </c>
      <c r="H16">
        <f t="shared" ca="1" si="3"/>
        <v>104</v>
      </c>
      <c r="I16">
        <f t="shared" ca="1" si="9"/>
        <v>95</v>
      </c>
      <c r="J16">
        <f t="shared" ca="1" si="10"/>
        <v>105</v>
      </c>
      <c r="K16">
        <f t="shared" ca="1" si="2"/>
        <v>12</v>
      </c>
      <c r="L16">
        <f t="shared" ca="1" si="8"/>
        <v>66</v>
      </c>
    </row>
    <row r="17" spans="1:12" x14ac:dyDescent="0.3">
      <c r="A17">
        <v>16</v>
      </c>
      <c r="B17">
        <f t="shared" ca="1" si="0"/>
        <v>58.8</v>
      </c>
      <c r="C17">
        <f t="shared" ca="1" si="4"/>
        <v>65.866666666666674</v>
      </c>
      <c r="D17">
        <f t="shared" ca="1" si="5"/>
        <v>60.31428571428571</v>
      </c>
      <c r="E17">
        <f t="shared" ca="1" si="1"/>
        <v>99</v>
      </c>
      <c r="F17">
        <f t="shared" ca="1" si="6"/>
        <v>1.3972762620115438</v>
      </c>
      <c r="G17">
        <f t="shared" ca="1" si="7"/>
        <v>99.571428571428569</v>
      </c>
      <c r="H17">
        <f t="shared" ca="1" si="3"/>
        <v>99</v>
      </c>
      <c r="I17">
        <f t="shared" ca="1" si="9"/>
        <v>95</v>
      </c>
      <c r="J17">
        <f t="shared" ca="1" si="10"/>
        <v>105</v>
      </c>
      <c r="K17">
        <f t="shared" ca="1" si="2"/>
        <v>10</v>
      </c>
      <c r="L17">
        <f t="shared" ca="1" si="8"/>
        <v>65</v>
      </c>
    </row>
    <row r="18" spans="1:12" x14ac:dyDescent="0.3">
      <c r="A18">
        <v>17</v>
      </c>
      <c r="B18">
        <f t="shared" ca="1" si="0"/>
        <v>56.6</v>
      </c>
      <c r="C18">
        <f t="shared" ca="1" si="4"/>
        <v>62.666666666666664</v>
      </c>
      <c r="D18">
        <f t="shared" ca="1" si="5"/>
        <v>60.971428571428575</v>
      </c>
      <c r="E18">
        <f t="shared" ca="1" si="1"/>
        <v>98</v>
      </c>
      <c r="F18">
        <f t="shared" ca="1" si="6"/>
        <v>1.3972762620115435</v>
      </c>
      <c r="G18">
        <f t="shared" ca="1" si="7"/>
        <v>99.428571428571431</v>
      </c>
      <c r="H18">
        <f t="shared" ca="1" si="3"/>
        <v>103</v>
      </c>
      <c r="I18">
        <f t="shared" ca="1" si="9"/>
        <v>96</v>
      </c>
      <c r="J18">
        <f t="shared" ca="1" si="10"/>
        <v>105</v>
      </c>
      <c r="K18">
        <f t="shared" ca="1" si="2"/>
        <v>11</v>
      </c>
      <c r="L18">
        <f t="shared" ca="1" si="8"/>
        <v>67</v>
      </c>
    </row>
    <row r="19" spans="1:12" x14ac:dyDescent="0.3">
      <c r="A19">
        <v>18</v>
      </c>
      <c r="B19">
        <f t="shared" ca="1" si="0"/>
        <v>60.400000000000006</v>
      </c>
      <c r="C19">
        <f t="shared" ca="1" si="4"/>
        <v>61.800000000000004</v>
      </c>
      <c r="D19">
        <f t="shared" ca="1" si="5"/>
        <v>60.771428571428579</v>
      </c>
      <c r="E19">
        <f t="shared" ca="1" si="1"/>
        <v>99</v>
      </c>
      <c r="F19">
        <f t="shared" ca="1" si="6"/>
        <v>1.3972762620115435</v>
      </c>
      <c r="G19">
        <f t="shared" ca="1" si="7"/>
        <v>99.428571428571431</v>
      </c>
      <c r="H19">
        <f t="shared" ca="1" si="3"/>
        <v>96</v>
      </c>
      <c r="I19">
        <f t="shared" ca="1" si="9"/>
        <v>96</v>
      </c>
      <c r="J19">
        <f t="shared" ca="1" si="10"/>
        <v>105</v>
      </c>
      <c r="K19">
        <f t="shared" ca="1" si="2"/>
        <v>13</v>
      </c>
      <c r="L19">
        <f t="shared" ca="1" si="8"/>
        <v>68</v>
      </c>
    </row>
    <row r="20" spans="1:12" x14ac:dyDescent="0.3">
      <c r="A20">
        <v>19</v>
      </c>
      <c r="B20">
        <f t="shared" ca="1" si="0"/>
        <v>65.2</v>
      </c>
      <c r="C20">
        <f t="shared" ca="1" si="4"/>
        <v>58.6</v>
      </c>
      <c r="D20">
        <f t="shared" ca="1" si="5"/>
        <v>61.142857142857146</v>
      </c>
      <c r="E20">
        <f t="shared" ca="1" si="1"/>
        <v>100</v>
      </c>
      <c r="F20">
        <f t="shared" ca="1" si="6"/>
        <v>1.3801311186847083</v>
      </c>
      <c r="G20">
        <f t="shared" ca="1" si="7"/>
        <v>99.285714285714292</v>
      </c>
      <c r="H20">
        <f t="shared" ca="1" si="3"/>
        <v>100</v>
      </c>
      <c r="I20">
        <f t="shared" ca="1" si="9"/>
        <v>96</v>
      </c>
      <c r="J20">
        <f t="shared" ca="1" si="10"/>
        <v>105</v>
      </c>
      <c r="K20">
        <f t="shared" ca="1" si="2"/>
        <v>14</v>
      </c>
      <c r="L20">
        <f t="shared" ca="1" si="8"/>
        <v>70</v>
      </c>
    </row>
    <row r="21" spans="1:12" x14ac:dyDescent="0.3">
      <c r="A21">
        <v>20</v>
      </c>
      <c r="B21">
        <f t="shared" ca="1" si="0"/>
        <v>59</v>
      </c>
      <c r="C21">
        <f t="shared" ca="1" si="4"/>
        <v>60.733333333333327</v>
      </c>
      <c r="D21">
        <f t="shared" ca="1" si="5"/>
        <v>62.657142857142865</v>
      </c>
      <c r="E21">
        <f t="shared" ca="1" si="1"/>
        <v>99</v>
      </c>
      <c r="F21">
        <f t="shared" ca="1" si="6"/>
        <v>1.2724180205607034</v>
      </c>
      <c r="G21">
        <f t="shared" ca="1" si="7"/>
        <v>99.571428571428569</v>
      </c>
      <c r="H21">
        <f t="shared" ca="1" si="3"/>
        <v>100</v>
      </c>
      <c r="I21">
        <f t="shared" ca="1" si="9"/>
        <v>96</v>
      </c>
      <c r="J21">
        <f t="shared" ca="1" si="10"/>
        <v>105</v>
      </c>
      <c r="K21">
        <f t="shared" ca="1" si="2"/>
        <v>10</v>
      </c>
      <c r="L21">
        <f t="shared" ca="1" si="8"/>
        <v>77</v>
      </c>
    </row>
    <row r="22" spans="1:12" x14ac:dyDescent="0.3">
      <c r="A22">
        <v>21</v>
      </c>
      <c r="B22">
        <f t="shared" ca="1" si="0"/>
        <v>65.8</v>
      </c>
      <c r="C22">
        <f t="shared" ca="1" si="4"/>
        <v>61.533333333333339</v>
      </c>
      <c r="D22">
        <f t="shared" ca="1" si="5"/>
        <v>61.31428571428571</v>
      </c>
      <c r="E22">
        <f t="shared" ca="1" si="1"/>
        <v>98</v>
      </c>
      <c r="F22">
        <f t="shared" ca="1" si="6"/>
        <v>1.2724180205607034</v>
      </c>
      <c r="G22">
        <f t="shared" ca="1" si="7"/>
        <v>99.571428571428569</v>
      </c>
      <c r="H22">
        <f t="shared" ca="1" si="3"/>
        <v>95</v>
      </c>
      <c r="I22">
        <f t="shared" ca="1" si="9"/>
        <v>96</v>
      </c>
      <c r="J22">
        <f t="shared" ca="1" si="10"/>
        <v>105</v>
      </c>
      <c r="K22">
        <f t="shared" ca="1" si="2"/>
        <v>6</v>
      </c>
      <c r="L22">
        <f t="shared" ca="1" si="8"/>
        <v>78</v>
      </c>
    </row>
    <row r="23" spans="1:12" x14ac:dyDescent="0.3">
      <c r="A23">
        <v>22</v>
      </c>
      <c r="B23">
        <f t="shared" ca="1" si="0"/>
        <v>61.599999999999994</v>
      </c>
      <c r="C23">
        <f t="shared" ca="1" si="4"/>
        <v>63.333333333333336</v>
      </c>
      <c r="D23">
        <f t="shared" ca="1" si="5"/>
        <v>62.25714285714286</v>
      </c>
      <c r="E23">
        <f t="shared" ca="1" si="1"/>
        <v>102</v>
      </c>
      <c r="F23">
        <f t="shared" ca="1" si="6"/>
        <v>0.81649658092772603</v>
      </c>
      <c r="G23">
        <f t="shared" ca="1" si="7"/>
        <v>99</v>
      </c>
      <c r="H23">
        <f t="shared" ca="1" si="3"/>
        <v>100</v>
      </c>
      <c r="I23">
        <f t="shared" ca="1" si="9"/>
        <v>95</v>
      </c>
      <c r="J23">
        <f t="shared" ca="1" si="10"/>
        <v>105</v>
      </c>
      <c r="K23">
        <f t="shared" ca="1" si="2"/>
        <v>15</v>
      </c>
      <c r="L23">
        <f t="shared" ca="1" si="8"/>
        <v>76</v>
      </c>
    </row>
    <row r="24" spans="1:12" x14ac:dyDescent="0.3">
      <c r="A24">
        <v>23</v>
      </c>
      <c r="B24">
        <f t="shared" ca="1" si="0"/>
        <v>75.400000000000006</v>
      </c>
      <c r="C24">
        <f t="shared" ca="1" si="4"/>
        <v>62.133333333333326</v>
      </c>
      <c r="D24">
        <f t="shared" ca="1" si="5"/>
        <v>61.057142857142857</v>
      </c>
      <c r="E24">
        <f t="shared" ca="1" si="1"/>
        <v>98</v>
      </c>
      <c r="F24">
        <f t="shared" ca="1" si="6"/>
        <v>1.3801311186847085</v>
      </c>
      <c r="G24">
        <f t="shared" ca="1" si="7"/>
        <v>99.285714285714292</v>
      </c>
      <c r="H24">
        <f t="shared" ca="1" si="3"/>
        <v>104</v>
      </c>
      <c r="I24">
        <f t="shared" ca="1" si="9"/>
        <v>95</v>
      </c>
      <c r="J24">
        <f t="shared" ca="1" si="10"/>
        <v>105</v>
      </c>
      <c r="K24">
        <f t="shared" ca="1" si="2"/>
        <v>11</v>
      </c>
      <c r="L24">
        <f t="shared" ca="1" si="8"/>
        <v>79</v>
      </c>
    </row>
    <row r="25" spans="1:12" x14ac:dyDescent="0.3">
      <c r="A25">
        <v>24</v>
      </c>
      <c r="B25">
        <f t="shared" ca="1" si="0"/>
        <v>68.2</v>
      </c>
      <c r="C25">
        <f t="shared" ca="1" si="4"/>
        <v>67.600000000000009</v>
      </c>
      <c r="D25">
        <f t="shared" ca="1" si="5"/>
        <v>63.428571428571431</v>
      </c>
      <c r="E25">
        <f t="shared" ca="1" si="1"/>
        <v>102</v>
      </c>
      <c r="F25">
        <f t="shared" ca="1" si="6"/>
        <v>1.4638501094227998</v>
      </c>
      <c r="G25">
        <f t="shared" ca="1" si="7"/>
        <v>99.142857142857139</v>
      </c>
      <c r="H25">
        <f t="shared" ca="1" si="3"/>
        <v>101</v>
      </c>
      <c r="I25">
        <f t="shared" ca="1" si="9"/>
        <v>95</v>
      </c>
      <c r="J25">
        <f t="shared" ca="1" si="10"/>
        <v>105</v>
      </c>
      <c r="K25">
        <f t="shared" ca="1" si="2"/>
        <v>14</v>
      </c>
      <c r="L25">
        <f t="shared" ca="1" si="8"/>
        <v>80</v>
      </c>
    </row>
    <row r="26" spans="1:12" x14ac:dyDescent="0.3">
      <c r="A26">
        <v>25</v>
      </c>
      <c r="B26">
        <f t="shared" ca="1" si="0"/>
        <v>66</v>
      </c>
      <c r="C26">
        <f t="shared" ca="1" si="4"/>
        <v>68.399999999999991</v>
      </c>
      <c r="D26">
        <f t="shared" ca="1" si="5"/>
        <v>65.085714285714275</v>
      </c>
      <c r="E26">
        <f t="shared" ca="1" si="1"/>
        <v>102</v>
      </c>
      <c r="F26">
        <f t="shared" ca="1" si="6"/>
        <v>1.7043362064926932</v>
      </c>
      <c r="G26">
        <f t="shared" ca="1" si="7"/>
        <v>99.714285714285708</v>
      </c>
      <c r="H26">
        <f t="shared" ca="1" si="3"/>
        <v>104</v>
      </c>
      <c r="I26">
        <f t="shared" ca="1" si="9"/>
        <v>95</v>
      </c>
      <c r="J26">
        <f t="shared" ca="1" si="10"/>
        <v>104</v>
      </c>
      <c r="K26">
        <f t="shared" ca="1" si="2"/>
        <v>13</v>
      </c>
      <c r="L26">
        <f t="shared" ca="1" si="8"/>
        <v>83</v>
      </c>
    </row>
    <row r="27" spans="1:12" x14ac:dyDescent="0.3">
      <c r="A27">
        <v>26</v>
      </c>
      <c r="B27">
        <f t="shared" ca="1" si="0"/>
        <v>71.8</v>
      </c>
      <c r="C27">
        <f t="shared" ca="1" si="4"/>
        <v>69.866666666666674</v>
      </c>
      <c r="D27">
        <f t="shared" ca="1" si="5"/>
        <v>65.885714285714286</v>
      </c>
      <c r="E27">
        <f t="shared" ca="1" si="1"/>
        <v>102</v>
      </c>
      <c r="F27">
        <f t="shared" ca="1" si="6"/>
        <v>1.8644544714716089</v>
      </c>
      <c r="G27">
        <f t="shared" ca="1" si="7"/>
        <v>100.14285714285714</v>
      </c>
      <c r="H27">
        <f t="shared" ca="1" si="3"/>
        <v>100</v>
      </c>
      <c r="I27">
        <f t="shared" ca="1" si="9"/>
        <v>95</v>
      </c>
      <c r="J27">
        <f t="shared" ca="1" si="10"/>
        <v>104</v>
      </c>
      <c r="K27">
        <f t="shared" ca="1" si="2"/>
        <v>15</v>
      </c>
      <c r="L27">
        <f t="shared" ca="1" si="8"/>
        <v>83</v>
      </c>
    </row>
    <row r="28" spans="1:12" x14ac:dyDescent="0.3">
      <c r="A28">
        <v>27</v>
      </c>
      <c r="B28">
        <f t="shared" ca="1" si="0"/>
        <v>71.599999999999994</v>
      </c>
      <c r="C28">
        <f t="shared" ca="1" si="4"/>
        <v>68.666666666666671</v>
      </c>
      <c r="D28">
        <f t="shared" ca="1" si="5"/>
        <v>66.828571428571422</v>
      </c>
      <c r="E28">
        <f t="shared" ca="1" si="1"/>
        <v>101</v>
      </c>
      <c r="F28">
        <f t="shared" ca="1" si="6"/>
        <v>1.9880595947760098</v>
      </c>
      <c r="G28">
        <f t="shared" ca="1" si="7"/>
        <v>100.42857142857143</v>
      </c>
      <c r="H28">
        <f t="shared" ca="1" si="3"/>
        <v>96</v>
      </c>
      <c r="I28">
        <f t="shared" ca="1" si="9"/>
        <v>95</v>
      </c>
      <c r="J28">
        <f t="shared" ca="1" si="10"/>
        <v>104</v>
      </c>
      <c r="K28">
        <f t="shared" ca="1" si="2"/>
        <v>12</v>
      </c>
      <c r="L28">
        <f t="shared" ca="1" si="8"/>
        <v>84</v>
      </c>
    </row>
    <row r="29" spans="1:12" x14ac:dyDescent="0.3">
      <c r="A29">
        <v>28</v>
      </c>
      <c r="B29">
        <f t="shared" ca="1" si="0"/>
        <v>70.400000000000006</v>
      </c>
      <c r="C29">
        <f t="shared" ca="1" si="4"/>
        <v>69.8</v>
      </c>
      <c r="D29">
        <f t="shared" ca="1" si="5"/>
        <v>68.628571428571419</v>
      </c>
      <c r="E29">
        <f t="shared" ca="1" si="1"/>
        <v>98</v>
      </c>
      <c r="F29">
        <f t="shared" ca="1" si="6"/>
        <v>1.8898223650461361</v>
      </c>
      <c r="G29">
        <f t="shared" ca="1" si="7"/>
        <v>100.71428571428571</v>
      </c>
      <c r="H29">
        <f t="shared" ca="1" si="3"/>
        <v>104</v>
      </c>
      <c r="I29">
        <f t="shared" ca="1" si="9"/>
        <v>95</v>
      </c>
      <c r="J29">
        <f t="shared" ca="1" si="10"/>
        <v>104</v>
      </c>
      <c r="K29">
        <f t="shared" ca="1" si="2"/>
        <v>11</v>
      </c>
      <c r="L29">
        <f t="shared" ca="1" si="8"/>
        <v>86</v>
      </c>
    </row>
    <row r="30" spans="1:12" x14ac:dyDescent="0.3">
      <c r="A30">
        <v>29</v>
      </c>
      <c r="B30">
        <f t="shared" ca="1" si="0"/>
        <v>66.2</v>
      </c>
      <c r="C30">
        <f t="shared" ca="1" si="4"/>
        <v>71.266666666666666</v>
      </c>
      <c r="D30">
        <f t="shared" ca="1" si="5"/>
        <v>69.285714285714292</v>
      </c>
      <c r="E30">
        <f t="shared" ca="1" si="1"/>
        <v>102</v>
      </c>
      <c r="F30">
        <f t="shared" ca="1" si="6"/>
        <v>1.8898223650461361</v>
      </c>
      <c r="G30">
        <f t="shared" ca="1" si="7"/>
        <v>100.71428571428571</v>
      </c>
      <c r="H30">
        <f t="shared" ca="1" si="3"/>
        <v>104</v>
      </c>
      <c r="I30">
        <f t="shared" ca="1" si="9"/>
        <v>95</v>
      </c>
      <c r="J30">
        <f t="shared" ca="1" si="10"/>
        <v>104</v>
      </c>
      <c r="K30">
        <f t="shared" ca="1" si="2"/>
        <v>9</v>
      </c>
      <c r="L30">
        <f t="shared" ca="1" si="8"/>
        <v>91</v>
      </c>
    </row>
    <row r="31" spans="1:12" x14ac:dyDescent="0.3">
      <c r="A31">
        <v>30</v>
      </c>
      <c r="B31">
        <f t="shared" ca="1" si="0"/>
        <v>74</v>
      </c>
      <c r="C31">
        <f t="shared" ca="1" si="4"/>
        <v>69.399999999999991</v>
      </c>
      <c r="D31">
        <f t="shared" ca="1" si="5"/>
        <v>69.942857142857136</v>
      </c>
      <c r="E31">
        <f t="shared" ca="1" si="1"/>
        <v>101</v>
      </c>
      <c r="F31">
        <f t="shared" ca="1" si="6"/>
        <v>1.8898223650461361</v>
      </c>
      <c r="G31">
        <f t="shared" ca="1" si="7"/>
        <v>100.71428571428571</v>
      </c>
      <c r="H31">
        <f t="shared" ca="1" si="3"/>
        <v>105</v>
      </c>
      <c r="I31">
        <f t="shared" ca="1" si="9"/>
        <v>95</v>
      </c>
      <c r="J31">
        <f t="shared" ca="1" si="10"/>
        <v>104</v>
      </c>
      <c r="K31">
        <f ca="1">RANDBETWEEN(25, 35)</f>
        <v>28</v>
      </c>
      <c r="L31">
        <f t="shared" ca="1" si="8"/>
        <v>85</v>
      </c>
    </row>
    <row r="32" spans="1:12" x14ac:dyDescent="0.3">
      <c r="A32">
        <v>31</v>
      </c>
      <c r="B32">
        <f t="shared" ca="1" si="0"/>
        <v>80.8</v>
      </c>
      <c r="C32">
        <f t="shared" ca="1" si="4"/>
        <v>70.2</v>
      </c>
      <c r="D32">
        <f t="shared" ca="1" si="5"/>
        <v>69.742857142857147</v>
      </c>
      <c r="E32">
        <f ca="1" xml:space="preserve"> 100 + RANDBETWEEN(-18, 18)</f>
        <v>101</v>
      </c>
      <c r="F32">
        <f t="shared" ca="1" si="6"/>
        <v>1.4638501094227998</v>
      </c>
      <c r="G32">
        <f t="shared" ca="1" si="7"/>
        <v>101.14285714285714</v>
      </c>
      <c r="H32">
        <f t="shared" ca="1" si="3"/>
        <v>97</v>
      </c>
      <c r="I32">
        <f t="shared" ca="1" si="9"/>
        <v>95</v>
      </c>
      <c r="J32">
        <f t="shared" ca="1" si="10"/>
        <v>105</v>
      </c>
      <c r="K32">
        <f ca="1">RANDBETWEEN(25, 35)</f>
        <v>30</v>
      </c>
      <c r="L32">
        <f t="shared" ca="1" si="8"/>
        <v>102</v>
      </c>
    </row>
    <row r="33" spans="1:12" x14ac:dyDescent="0.3">
      <c r="A33">
        <v>32</v>
      </c>
      <c r="B33">
        <f t="shared" ca="1" si="0"/>
        <v>73.599999999999994</v>
      </c>
      <c r="C33">
        <f t="shared" ca="1" si="4"/>
        <v>73.666666666666671</v>
      </c>
      <c r="D33">
        <f t="shared" ca="1" si="5"/>
        <v>71.542857142857144</v>
      </c>
      <c r="E33">
        <f t="shared" ref="E33:E61" ca="1" si="11" xml:space="preserve"> 100 + RANDBETWEEN(-18, 18)</f>
        <v>97</v>
      </c>
      <c r="F33">
        <f t="shared" ca="1" si="6"/>
        <v>1.4142135623730951</v>
      </c>
      <c r="G33">
        <f t="shared" ca="1" si="7"/>
        <v>101</v>
      </c>
      <c r="H33">
        <f t="shared" ca="1" si="3"/>
        <v>97</v>
      </c>
      <c r="I33">
        <f t="shared" ca="1" si="9"/>
        <v>96</v>
      </c>
      <c r="J33">
        <f t="shared" ca="1" si="10"/>
        <v>105</v>
      </c>
      <c r="K33">
        <f t="shared" ref="K33:K39" ca="1" si="12">RANDBETWEEN(25, 35)</f>
        <v>32</v>
      </c>
      <c r="L33">
        <f t="shared" ca="1" si="8"/>
        <v>118</v>
      </c>
    </row>
    <row r="34" spans="1:12" x14ac:dyDescent="0.3">
      <c r="A34">
        <v>33</v>
      </c>
      <c r="B34">
        <f t="shared" ca="1" si="0"/>
        <v>79.400000000000006</v>
      </c>
      <c r="C34">
        <f t="shared" ca="1" si="4"/>
        <v>76.13333333333334</v>
      </c>
      <c r="D34">
        <f t="shared" ca="1" si="5"/>
        <v>72.628571428571419</v>
      </c>
      <c r="E34">
        <f t="shared" ca="1" si="11"/>
        <v>102</v>
      </c>
      <c r="F34">
        <f t="shared" ca="1" si="6"/>
        <v>1.9760470401187074</v>
      </c>
      <c r="G34">
        <f t="shared" ca="1" si="7"/>
        <v>100.28571428571429</v>
      </c>
      <c r="H34">
        <f t="shared" ca="1" si="3"/>
        <v>104</v>
      </c>
      <c r="I34">
        <f t="shared" ca="1" si="9"/>
        <v>96</v>
      </c>
      <c r="J34">
        <f t="shared" ca="1" si="10"/>
        <v>105</v>
      </c>
      <c r="K34">
        <f t="shared" ca="1" si="12"/>
        <v>27</v>
      </c>
      <c r="L34">
        <f t="shared" ca="1" si="8"/>
        <v>137</v>
      </c>
    </row>
    <row r="35" spans="1:12" x14ac:dyDescent="0.3">
      <c r="A35">
        <v>34</v>
      </c>
      <c r="B35">
        <f t="shared" ca="1" si="0"/>
        <v>71.2</v>
      </c>
      <c r="C35">
        <f t="shared" ca="1" si="4"/>
        <v>77.933333333333323</v>
      </c>
      <c r="D35">
        <f t="shared" ca="1" si="5"/>
        <v>73.714285714285708</v>
      </c>
      <c r="E35">
        <f t="shared" ca="1" si="11"/>
        <v>110</v>
      </c>
      <c r="F35">
        <f t="shared" ca="1" si="6"/>
        <v>1.9760470401187074</v>
      </c>
      <c r="G35">
        <f t="shared" ca="1" si="7"/>
        <v>100.28571428571429</v>
      </c>
      <c r="H35">
        <f ca="1">125 + RANDBETWEEN(-3, 3)</f>
        <v>123</v>
      </c>
      <c r="I35">
        <f t="shared" ca="1" si="9"/>
        <v>96</v>
      </c>
      <c r="J35">
        <f t="shared" ca="1" si="10"/>
        <v>105</v>
      </c>
      <c r="K35">
        <f t="shared" ca="1" si="12"/>
        <v>33</v>
      </c>
      <c r="L35">
        <f t="shared" ca="1" si="8"/>
        <v>149</v>
      </c>
    </row>
    <row r="36" spans="1:12" x14ac:dyDescent="0.3">
      <c r="A36">
        <v>35</v>
      </c>
      <c r="B36">
        <f t="shared" ca="1" si="0"/>
        <v>83</v>
      </c>
      <c r="C36">
        <f t="shared" ca="1" si="4"/>
        <v>74.733333333333334</v>
      </c>
      <c r="D36">
        <f t="shared" ca="1" si="5"/>
        <v>73.657142857142858</v>
      </c>
      <c r="E36">
        <f t="shared" ca="1" si="11"/>
        <v>100</v>
      </c>
      <c r="F36">
        <f t="shared" ca="1" si="6"/>
        <v>4.1975049278169543</v>
      </c>
      <c r="G36">
        <f t="shared" ca="1" si="7"/>
        <v>101.57142857142857</v>
      </c>
      <c r="H36">
        <f t="shared" ref="H36:H45" ca="1" si="13">125 + RANDBETWEEN(-3, 3)</f>
        <v>128</v>
      </c>
      <c r="I36">
        <f t="shared" ca="1" si="9"/>
        <v>96</v>
      </c>
      <c r="J36">
        <f t="shared" ca="1" si="10"/>
        <v>123</v>
      </c>
      <c r="K36">
        <f t="shared" ca="1" si="12"/>
        <v>35</v>
      </c>
      <c r="L36">
        <f t="shared" ca="1" si="8"/>
        <v>170</v>
      </c>
    </row>
    <row r="37" spans="1:12" x14ac:dyDescent="0.3">
      <c r="A37">
        <v>36</v>
      </c>
      <c r="B37">
        <f t="shared" ca="1" si="0"/>
        <v>71.8</v>
      </c>
      <c r="C37">
        <f t="shared" ca="1" si="4"/>
        <v>77.866666666666674</v>
      </c>
      <c r="D37">
        <f t="shared" ca="1" si="5"/>
        <v>75.45714285714287</v>
      </c>
      <c r="E37">
        <f t="shared" ca="1" si="11"/>
        <v>102</v>
      </c>
      <c r="F37">
        <f t="shared" ca="1" si="6"/>
        <v>3.9761191895520196</v>
      </c>
      <c r="G37">
        <f t="shared" ca="1" si="7"/>
        <v>101.85714285714286</v>
      </c>
      <c r="H37">
        <f t="shared" ca="1" si="13"/>
        <v>128</v>
      </c>
      <c r="I37">
        <f t="shared" ca="1" si="9"/>
        <v>96</v>
      </c>
      <c r="J37">
        <f t="shared" ca="1" si="10"/>
        <v>128</v>
      </c>
      <c r="K37">
        <f ca="1">RANDBETWEEN(5, 15)</f>
        <v>14</v>
      </c>
      <c r="L37">
        <f t="shared" ca="1" si="8"/>
        <v>194</v>
      </c>
    </row>
    <row r="38" spans="1:12" x14ac:dyDescent="0.3">
      <c r="A38">
        <v>37</v>
      </c>
      <c r="B38">
        <f t="shared" ca="1" si="0"/>
        <v>76.599999999999994</v>
      </c>
      <c r="C38">
        <f t="shared" ca="1" si="4"/>
        <v>75.333333333333329</v>
      </c>
      <c r="D38">
        <f t="shared" ca="1" si="5"/>
        <v>76.257142857142853</v>
      </c>
      <c r="E38">
        <f t="shared" ca="1" si="11"/>
        <v>105</v>
      </c>
      <c r="F38">
        <f t="shared" ca="1" si="6"/>
        <v>3.9761191895520196</v>
      </c>
      <c r="G38">
        <f t="shared" ca="1" si="7"/>
        <v>101.85714285714286</v>
      </c>
      <c r="H38">
        <f t="shared" ca="1" si="13"/>
        <v>122</v>
      </c>
      <c r="I38">
        <f t="shared" ca="1" si="9"/>
        <v>96</v>
      </c>
      <c r="J38">
        <f t="shared" ca="1" si="10"/>
        <v>128</v>
      </c>
      <c r="K38">
        <f t="shared" ref="K38:K61" ca="1" si="14">RANDBETWEEN(5, 15)</f>
        <v>14</v>
      </c>
      <c r="L38">
        <f t="shared" ca="1" si="8"/>
        <v>199</v>
      </c>
    </row>
    <row r="39" spans="1:12" x14ac:dyDescent="0.3">
      <c r="A39">
        <v>38</v>
      </c>
      <c r="B39">
        <f t="shared" ca="1" si="0"/>
        <v>80.400000000000006</v>
      </c>
      <c r="C39">
        <f t="shared" ca="1" si="4"/>
        <v>77.13333333333334</v>
      </c>
      <c r="D39">
        <f t="shared" ca="1" si="5"/>
        <v>76.628571428571419</v>
      </c>
      <c r="E39">
        <f t="shared" ca="1" si="11"/>
        <v>88</v>
      </c>
      <c r="F39">
        <f t="shared" ca="1" si="6"/>
        <v>4.1173269183271026</v>
      </c>
      <c r="G39">
        <f t="shared" ca="1" si="7"/>
        <v>102.42857142857143</v>
      </c>
      <c r="H39">
        <f t="shared" ca="1" si="13"/>
        <v>128</v>
      </c>
      <c r="I39">
        <f t="shared" ca="1" si="9"/>
        <v>97</v>
      </c>
      <c r="J39">
        <f t="shared" ca="1" si="10"/>
        <v>128</v>
      </c>
      <c r="K39">
        <f t="shared" ca="1" si="14"/>
        <v>6</v>
      </c>
      <c r="L39">
        <f t="shared" ca="1" si="8"/>
        <v>185</v>
      </c>
    </row>
    <row r="40" spans="1:12" x14ac:dyDescent="0.3">
      <c r="A40">
        <v>39</v>
      </c>
      <c r="B40">
        <f t="shared" ca="1" si="0"/>
        <v>80.2</v>
      </c>
      <c r="C40">
        <f t="shared" ca="1" si="4"/>
        <v>76.266666666666666</v>
      </c>
      <c r="D40">
        <f t="shared" ca="1" si="5"/>
        <v>76.571428571428569</v>
      </c>
      <c r="E40">
        <f t="shared" ca="1" si="11"/>
        <v>110</v>
      </c>
      <c r="F40">
        <f t="shared" ca="1" si="6"/>
        <v>6.8764608837478516</v>
      </c>
      <c r="G40">
        <f t="shared" ca="1" si="7"/>
        <v>100.57142857142857</v>
      </c>
      <c r="H40">
        <f t="shared" ca="1" si="13"/>
        <v>128</v>
      </c>
      <c r="I40">
        <f t="shared" ca="1" si="9"/>
        <v>97</v>
      </c>
      <c r="J40">
        <f t="shared" ca="1" si="10"/>
        <v>128</v>
      </c>
      <c r="K40">
        <f t="shared" ca="1" si="14"/>
        <v>15</v>
      </c>
      <c r="L40">
        <f t="shared" ca="1" si="8"/>
        <v>161</v>
      </c>
    </row>
    <row r="41" spans="1:12" x14ac:dyDescent="0.3">
      <c r="A41">
        <v>40</v>
      </c>
      <c r="B41">
        <f t="shared" ca="1" si="0"/>
        <v>87</v>
      </c>
      <c r="C41">
        <f t="shared" ca="1" si="4"/>
        <v>79.066666666666663</v>
      </c>
      <c r="D41">
        <f t="shared" ca="1" si="5"/>
        <v>77.51428571428572</v>
      </c>
      <c r="E41">
        <f t="shared" ca="1" si="11"/>
        <v>101</v>
      </c>
      <c r="F41">
        <f t="shared" ca="1" si="6"/>
        <v>7.4801324154309565</v>
      </c>
      <c r="G41">
        <f t="shared" ca="1" si="7"/>
        <v>102.42857142857143</v>
      </c>
      <c r="H41">
        <f t="shared" ca="1" si="13"/>
        <v>122</v>
      </c>
      <c r="I41">
        <f t="shared" ca="1" si="9"/>
        <v>97</v>
      </c>
      <c r="J41">
        <f t="shared" ca="1" si="10"/>
        <v>128</v>
      </c>
      <c r="K41">
        <f t="shared" ca="1" si="14"/>
        <v>6</v>
      </c>
      <c r="L41">
        <f t="shared" ca="1" si="8"/>
        <v>144</v>
      </c>
    </row>
    <row r="42" spans="1:12" x14ac:dyDescent="0.3">
      <c r="A42">
        <v>41</v>
      </c>
      <c r="B42">
        <f t="shared" ca="1" si="0"/>
        <v>84.800000000000011</v>
      </c>
      <c r="C42">
        <f t="shared" ca="1" si="4"/>
        <v>82.533333333333346</v>
      </c>
      <c r="D42">
        <f t="shared" ca="1" si="5"/>
        <v>78.600000000000009</v>
      </c>
      <c r="E42">
        <f t="shared" ca="1" si="11"/>
        <v>116</v>
      </c>
      <c r="F42">
        <f t="shared" ca="1" si="6"/>
        <v>7.4992063072097999</v>
      </c>
      <c r="G42">
        <f t="shared" ca="1" si="7"/>
        <v>102.28571428571429</v>
      </c>
      <c r="H42">
        <f t="shared" ca="1" si="13"/>
        <v>126</v>
      </c>
      <c r="I42">
        <f t="shared" ca="1" si="9"/>
        <v>97</v>
      </c>
      <c r="J42">
        <f t="shared" ca="1" si="10"/>
        <v>128</v>
      </c>
      <c r="K42">
        <f t="shared" ca="1" si="14"/>
        <v>9</v>
      </c>
      <c r="L42">
        <f t="shared" ca="1" si="8"/>
        <v>123</v>
      </c>
    </row>
    <row r="43" spans="1:12" x14ac:dyDescent="0.3">
      <c r="A43">
        <v>42</v>
      </c>
      <c r="B43">
        <f t="shared" ca="1" si="0"/>
        <v>81.599999999999994</v>
      </c>
      <c r="C43">
        <f t="shared" ca="1" si="4"/>
        <v>84</v>
      </c>
      <c r="D43">
        <f t="shared" ca="1" si="5"/>
        <v>80.54285714285713</v>
      </c>
      <c r="E43">
        <f t="shared" ca="1" si="11"/>
        <v>87</v>
      </c>
      <c r="F43">
        <f t="shared" ca="1" si="6"/>
        <v>8.7641042787910628</v>
      </c>
      <c r="G43">
        <f t="shared" ca="1" si="7"/>
        <v>103.14285714285714</v>
      </c>
      <c r="H43">
        <f t="shared" ca="1" si="13"/>
        <v>122</v>
      </c>
      <c r="I43">
        <f t="shared" ca="1" si="9"/>
        <v>97</v>
      </c>
      <c r="J43">
        <f t="shared" ca="1" si="10"/>
        <v>128</v>
      </c>
      <c r="K43">
        <f t="shared" ca="1" si="14"/>
        <v>9</v>
      </c>
      <c r="L43">
        <f t="shared" ca="1" si="8"/>
        <v>99</v>
      </c>
    </row>
    <row r="44" spans="1:12" x14ac:dyDescent="0.3">
      <c r="A44">
        <v>43</v>
      </c>
      <c r="B44">
        <f t="shared" ca="1" si="0"/>
        <v>80.400000000000006</v>
      </c>
      <c r="C44">
        <f t="shared" ca="1" si="4"/>
        <v>84.466666666666669</v>
      </c>
      <c r="D44">
        <f t="shared" ca="1" si="5"/>
        <v>80.342857142857142</v>
      </c>
      <c r="E44">
        <f t="shared" ca="1" si="11"/>
        <v>82</v>
      </c>
      <c r="F44">
        <f t="shared" ca="1" si="6"/>
        <v>10.703804397102395</v>
      </c>
      <c r="G44">
        <f t="shared" ca="1" si="7"/>
        <v>101.28571428571429</v>
      </c>
      <c r="H44">
        <f t="shared" ca="1" si="13"/>
        <v>126</v>
      </c>
      <c r="I44">
        <f t="shared" ca="1" si="9"/>
        <v>104</v>
      </c>
      <c r="J44">
        <f t="shared" ca="1" si="10"/>
        <v>128</v>
      </c>
      <c r="K44">
        <f t="shared" ca="1" si="14"/>
        <v>7</v>
      </c>
      <c r="L44">
        <f t="shared" ca="1" si="8"/>
        <v>73</v>
      </c>
    </row>
    <row r="45" spans="1:12" x14ac:dyDescent="0.3">
      <c r="A45">
        <v>44</v>
      </c>
      <c r="B45">
        <f t="shared" ca="1" si="0"/>
        <v>79.2</v>
      </c>
      <c r="C45">
        <f t="shared" ca="1" si="4"/>
        <v>82.266666666666666</v>
      </c>
      <c r="D45">
        <f t="shared" ca="1" si="5"/>
        <v>81.571428571428569</v>
      </c>
      <c r="E45">
        <f t="shared" ca="1" si="11"/>
        <v>88</v>
      </c>
      <c r="F45">
        <f t="shared" ca="1" si="6"/>
        <v>12.921005415693534</v>
      </c>
      <c r="G45">
        <f t="shared" ca="1" si="7"/>
        <v>98.428571428571431</v>
      </c>
      <c r="H45">
        <f t="shared" ca="1" si="13"/>
        <v>126</v>
      </c>
      <c r="I45">
        <f t="shared" ca="1" si="9"/>
        <v>122</v>
      </c>
      <c r="J45">
        <f t="shared" ca="1" si="10"/>
        <v>128</v>
      </c>
      <c r="K45">
        <f t="shared" ca="1" si="14"/>
        <v>12</v>
      </c>
      <c r="L45">
        <f t="shared" ca="1" si="8"/>
        <v>66</v>
      </c>
    </row>
    <row r="46" spans="1:12" x14ac:dyDescent="0.3">
      <c r="A46">
        <v>45</v>
      </c>
      <c r="B46">
        <f t="shared" ca="1" si="0"/>
        <v>81</v>
      </c>
      <c r="C46">
        <f t="shared" ca="1" si="4"/>
        <v>80.399999999999991</v>
      </c>
      <c r="D46">
        <f t="shared" ca="1" si="5"/>
        <v>81.94285714285715</v>
      </c>
      <c r="E46">
        <f t="shared" ca="1" si="11"/>
        <v>84</v>
      </c>
      <c r="F46">
        <f t="shared" ca="1" si="6"/>
        <v>13.076696830622021</v>
      </c>
      <c r="G46">
        <f t="shared" ca="1" si="7"/>
        <v>96</v>
      </c>
      <c r="H46">
        <f t="shared" ref="H46:H103" ca="1" si="15">H45 + RANDBETWEEN(-1, 2)</f>
        <v>127</v>
      </c>
      <c r="I46">
        <f t="shared" ca="1" si="9"/>
        <v>122</v>
      </c>
      <c r="J46">
        <f t="shared" ca="1" si="10"/>
        <v>128</v>
      </c>
      <c r="K46">
        <f t="shared" ca="1" si="14"/>
        <v>10</v>
      </c>
      <c r="L46">
        <f t="shared" ca="1" si="8"/>
        <v>64</v>
      </c>
    </row>
    <row r="47" spans="1:12" x14ac:dyDescent="0.3">
      <c r="A47">
        <v>46</v>
      </c>
      <c r="B47">
        <f t="shared" ca="1" si="0"/>
        <v>82.800000000000011</v>
      </c>
      <c r="C47">
        <f t="shared" ca="1" si="4"/>
        <v>80.2</v>
      </c>
      <c r="D47">
        <f t="shared" ca="1" si="5"/>
        <v>82.028571428571439</v>
      </c>
      <c r="E47">
        <f t="shared" ca="1" si="11"/>
        <v>92</v>
      </c>
      <c r="F47">
        <f t="shared" ca="1" si="6"/>
        <v>13.562904591287975</v>
      </c>
      <c r="G47">
        <f t="shared" ca="1" si="7"/>
        <v>95.428571428571431</v>
      </c>
      <c r="H47">
        <f ca="1">90 + RANDBETWEEN(-4, 4)</f>
        <v>93</v>
      </c>
      <c r="I47">
        <f t="shared" ca="1" si="9"/>
        <v>122</v>
      </c>
      <c r="J47">
        <f t="shared" ca="1" si="10"/>
        <v>128</v>
      </c>
      <c r="K47">
        <f t="shared" ca="1" si="14"/>
        <v>9</v>
      </c>
      <c r="L47">
        <f t="shared" ca="1" si="8"/>
        <v>68</v>
      </c>
    </row>
    <row r="48" spans="1:12" x14ac:dyDescent="0.3">
      <c r="A48">
        <v>47</v>
      </c>
      <c r="B48">
        <f t="shared" ca="1" si="0"/>
        <v>84.6</v>
      </c>
      <c r="C48">
        <f t="shared" ca="1" si="4"/>
        <v>81</v>
      </c>
      <c r="D48">
        <f t="shared" ca="1" si="5"/>
        <v>82.399999999999991</v>
      </c>
      <c r="E48">
        <f t="shared" ca="1" si="11"/>
        <v>113</v>
      </c>
      <c r="F48">
        <f t="shared" ca="1" si="6"/>
        <v>11.950293879630081</v>
      </c>
      <c r="G48">
        <f t="shared" ca="1" si="7"/>
        <v>92.857142857142861</v>
      </c>
      <c r="H48">
        <f t="shared" ref="H48:H61" ca="1" si="16">90 + RANDBETWEEN(-4, 4)</f>
        <v>91</v>
      </c>
      <c r="I48">
        <f t="shared" ca="1" si="9"/>
        <v>93</v>
      </c>
      <c r="J48">
        <f t="shared" ca="1" si="10"/>
        <v>128</v>
      </c>
      <c r="K48">
        <f t="shared" ca="1" si="14"/>
        <v>8</v>
      </c>
      <c r="L48">
        <f t="shared" ca="1" si="8"/>
        <v>62</v>
      </c>
    </row>
    <row r="49" spans="1:12" x14ac:dyDescent="0.3">
      <c r="A49">
        <v>48</v>
      </c>
      <c r="B49">
        <f t="shared" ca="1" si="0"/>
        <v>88.4</v>
      </c>
      <c r="C49">
        <f t="shared" ca="1" si="4"/>
        <v>82.8</v>
      </c>
      <c r="D49">
        <f t="shared" ca="1" si="5"/>
        <v>82.05714285714285</v>
      </c>
      <c r="E49">
        <f t="shared" ca="1" si="11"/>
        <v>108</v>
      </c>
      <c r="F49">
        <f t="shared" ca="1" si="6"/>
        <v>13.998299216418415</v>
      </c>
      <c r="G49">
        <f t="shared" ca="1" si="7"/>
        <v>94.571428571428569</v>
      </c>
      <c r="H49">
        <f t="shared" ca="1" si="16"/>
        <v>86</v>
      </c>
      <c r="I49">
        <f t="shared" ca="1" si="9"/>
        <v>91</v>
      </c>
      <c r="J49">
        <f t="shared" ca="1" si="10"/>
        <v>128</v>
      </c>
      <c r="K49">
        <f t="shared" ca="1" si="14"/>
        <v>14</v>
      </c>
      <c r="L49">
        <f t="shared" ca="1" si="8"/>
        <v>64</v>
      </c>
    </row>
    <row r="50" spans="1:12" x14ac:dyDescent="0.3">
      <c r="A50">
        <v>49</v>
      </c>
      <c r="B50">
        <f t="shared" ca="1" si="0"/>
        <v>91.2</v>
      </c>
      <c r="C50">
        <f t="shared" ca="1" si="4"/>
        <v>85.266666666666666</v>
      </c>
      <c r="D50">
        <f t="shared" ca="1" si="5"/>
        <v>82.571428571428569</v>
      </c>
      <c r="E50">
        <f t="shared" ca="1" si="11"/>
        <v>113</v>
      </c>
      <c r="F50">
        <f t="shared" ca="1" si="6"/>
        <v>12.163567772342965</v>
      </c>
      <c r="G50">
        <f t="shared" ca="1" si="7"/>
        <v>93.428571428571431</v>
      </c>
      <c r="H50">
        <f t="shared" ca="1" si="16"/>
        <v>94</v>
      </c>
      <c r="I50">
        <f t="shared" ca="1" si="9"/>
        <v>86</v>
      </c>
      <c r="J50">
        <f t="shared" ca="1" si="10"/>
        <v>128</v>
      </c>
      <c r="K50">
        <f t="shared" ca="1" si="14"/>
        <v>6</v>
      </c>
      <c r="L50">
        <f t="shared" ca="1" si="8"/>
        <v>69</v>
      </c>
    </row>
    <row r="51" spans="1:12" x14ac:dyDescent="0.3">
      <c r="A51">
        <v>50</v>
      </c>
      <c r="B51">
        <f t="shared" ca="1" si="0"/>
        <v>90</v>
      </c>
      <c r="C51">
        <f t="shared" ca="1" si="4"/>
        <v>88.066666666666663</v>
      </c>
      <c r="D51">
        <f t="shared" ca="1" si="5"/>
        <v>83.94285714285715</v>
      </c>
      <c r="E51">
        <f t="shared" ca="1" si="11"/>
        <v>108</v>
      </c>
      <c r="F51">
        <f t="shared" ca="1" si="6"/>
        <v>13.740797786501487</v>
      </c>
      <c r="G51">
        <f t="shared" ca="1" si="7"/>
        <v>97.142857142857139</v>
      </c>
      <c r="H51">
        <f t="shared" ca="1" si="16"/>
        <v>88</v>
      </c>
      <c r="I51">
        <f t="shared" ca="1" si="9"/>
        <v>86</v>
      </c>
      <c r="J51">
        <f t="shared" ca="1" si="10"/>
        <v>127</v>
      </c>
      <c r="K51">
        <f t="shared" ca="1" si="14"/>
        <v>13</v>
      </c>
      <c r="L51">
        <f t="shared" ca="1" si="8"/>
        <v>66</v>
      </c>
    </row>
    <row r="52" spans="1:12" x14ac:dyDescent="0.3">
      <c r="A52">
        <v>51</v>
      </c>
      <c r="B52">
        <f t="shared" ca="1" si="0"/>
        <v>98.800000000000011</v>
      </c>
      <c r="C52">
        <f t="shared" ca="1" si="4"/>
        <v>89.866666666666674</v>
      </c>
      <c r="D52">
        <f t="shared" ca="1" si="5"/>
        <v>85.314285714285717</v>
      </c>
      <c r="E52">
        <f t="shared" ca="1" si="11"/>
        <v>103</v>
      </c>
      <c r="F52">
        <f t="shared" ca="1" si="6"/>
        <v>12.415428190072925</v>
      </c>
      <c r="G52">
        <f t="shared" ca="1" si="7"/>
        <v>100.85714285714286</v>
      </c>
      <c r="H52">
        <f t="shared" ca="1" si="16"/>
        <v>91</v>
      </c>
      <c r="I52">
        <f t="shared" ca="1" si="9"/>
        <v>86</v>
      </c>
      <c r="J52">
        <f t="shared" ca="1" si="10"/>
        <v>127</v>
      </c>
      <c r="K52">
        <f t="shared" ca="1" si="14"/>
        <v>7</v>
      </c>
      <c r="L52">
        <f t="shared" ca="1" si="8"/>
        <v>72</v>
      </c>
    </row>
    <row r="53" spans="1:12" x14ac:dyDescent="0.3">
      <c r="A53">
        <v>52</v>
      </c>
      <c r="B53">
        <f t="shared" ca="1" si="0"/>
        <v>83.6</v>
      </c>
      <c r="C53">
        <f t="shared" ca="1" si="4"/>
        <v>93.333333333333329</v>
      </c>
      <c r="D53">
        <f t="shared" ca="1" si="5"/>
        <v>88.114285714285714</v>
      </c>
      <c r="E53">
        <f t="shared" ca="1" si="11"/>
        <v>102</v>
      </c>
      <c r="F53">
        <f t="shared" ca="1" si="6"/>
        <v>11.045361017187261</v>
      </c>
      <c r="G53">
        <f t="shared" ca="1" si="7"/>
        <v>103</v>
      </c>
      <c r="H53">
        <f t="shared" ca="1" si="16"/>
        <v>90</v>
      </c>
      <c r="I53">
        <f t="shared" ca="1" si="9"/>
        <v>86</v>
      </c>
      <c r="J53">
        <f t="shared" ca="1" si="10"/>
        <v>127</v>
      </c>
      <c r="K53">
        <f t="shared" ca="1" si="14"/>
        <v>9</v>
      </c>
      <c r="L53">
        <f t="shared" ca="1" si="8"/>
        <v>67</v>
      </c>
    </row>
    <row r="54" spans="1:12" x14ac:dyDescent="0.3">
      <c r="A54">
        <v>53</v>
      </c>
      <c r="B54">
        <f t="shared" ca="1" si="0"/>
        <v>84.4</v>
      </c>
      <c r="C54">
        <f t="shared" ca="1" si="4"/>
        <v>90.8</v>
      </c>
      <c r="D54">
        <f t="shared" ca="1" si="5"/>
        <v>88.48571428571428</v>
      </c>
      <c r="E54">
        <f t="shared" ca="1" si="11"/>
        <v>94</v>
      </c>
      <c r="F54">
        <f t="shared" ca="1" si="6"/>
        <v>7.3678839761300727</v>
      </c>
      <c r="G54">
        <f t="shared" ca="1" si="7"/>
        <v>105.57142857142857</v>
      </c>
      <c r="H54">
        <f t="shared" ca="1" si="16"/>
        <v>86</v>
      </c>
      <c r="I54">
        <f t="shared" ca="1" si="9"/>
        <v>86</v>
      </c>
      <c r="J54">
        <f t="shared" ca="1" si="10"/>
        <v>127</v>
      </c>
      <c r="K54">
        <f t="shared" ca="1" si="14"/>
        <v>13</v>
      </c>
      <c r="L54">
        <f t="shared" ca="1" si="8"/>
        <v>66</v>
      </c>
    </row>
    <row r="55" spans="1:12" x14ac:dyDescent="0.3">
      <c r="A55">
        <v>54</v>
      </c>
      <c r="B55">
        <f t="shared" ca="1" si="0"/>
        <v>96.2</v>
      </c>
      <c r="C55">
        <f t="shared" ca="1" si="4"/>
        <v>88.933333333333337</v>
      </c>
      <c r="D55">
        <f t="shared" ca="1" si="5"/>
        <v>88.714285714285708</v>
      </c>
      <c r="E55">
        <f t="shared" ca="1" si="11"/>
        <v>102</v>
      </c>
      <c r="F55">
        <f t="shared" ca="1" si="6"/>
        <v>6.768273325562717</v>
      </c>
      <c r="G55">
        <f t="shared" ca="1" si="7"/>
        <v>105.85714285714286</v>
      </c>
      <c r="H55">
        <f t="shared" ca="1" si="16"/>
        <v>86</v>
      </c>
      <c r="I55">
        <f t="shared" ca="1" si="9"/>
        <v>86</v>
      </c>
      <c r="J55">
        <f t="shared" ca="1" si="10"/>
        <v>127</v>
      </c>
      <c r="K55">
        <f t="shared" ca="1" si="14"/>
        <v>11</v>
      </c>
      <c r="L55">
        <f t="shared" ca="1" si="8"/>
        <v>70</v>
      </c>
    </row>
    <row r="56" spans="1:12" x14ac:dyDescent="0.3">
      <c r="A56">
        <v>55</v>
      </c>
      <c r="B56">
        <f t="shared" ca="1" si="0"/>
        <v>96</v>
      </c>
      <c r="C56">
        <f t="shared" ca="1" si="4"/>
        <v>88.066666666666663</v>
      </c>
      <c r="D56">
        <f t="shared" ca="1" si="5"/>
        <v>90.371428571428581</v>
      </c>
      <c r="E56">
        <f t="shared" ca="1" si="11"/>
        <v>95</v>
      </c>
      <c r="F56">
        <f t="shared" ca="1" si="6"/>
        <v>6.0749289629395591</v>
      </c>
      <c r="G56">
        <f t="shared" ca="1" si="7"/>
        <v>104.28571428571429</v>
      </c>
      <c r="H56">
        <f t="shared" ca="1" si="16"/>
        <v>86</v>
      </c>
      <c r="I56">
        <f t="shared" ca="1" si="9"/>
        <v>86</v>
      </c>
      <c r="J56">
        <f t="shared" ca="1" si="10"/>
        <v>127</v>
      </c>
      <c r="K56">
        <f t="shared" ca="1" si="14"/>
        <v>15</v>
      </c>
      <c r="L56">
        <f t="shared" ca="1" si="8"/>
        <v>73</v>
      </c>
    </row>
    <row r="57" spans="1:12" x14ac:dyDescent="0.3">
      <c r="A57">
        <v>56</v>
      </c>
      <c r="B57">
        <f t="shared" ca="1" si="0"/>
        <v>93.800000000000011</v>
      </c>
      <c r="C57">
        <f t="shared" ca="1" si="4"/>
        <v>92.2</v>
      </c>
      <c r="D57">
        <f t="shared" ca="1" si="5"/>
        <v>91.45714285714287</v>
      </c>
      <c r="E57">
        <f t="shared" ca="1" si="11"/>
        <v>98</v>
      </c>
      <c r="F57">
        <f t="shared" ca="1" si="6"/>
        <v>6.7046536787802067</v>
      </c>
      <c r="G57">
        <f t="shared" ca="1" si="7"/>
        <v>102.42857142857143</v>
      </c>
      <c r="H57">
        <f t="shared" ca="1" si="16"/>
        <v>93</v>
      </c>
      <c r="I57">
        <f t="shared" ca="1" si="9"/>
        <v>86</v>
      </c>
      <c r="J57">
        <f t="shared" ca="1" si="10"/>
        <v>94</v>
      </c>
      <c r="K57">
        <f t="shared" ca="1" si="14"/>
        <v>15</v>
      </c>
      <c r="L57">
        <f t="shared" ca="1" si="8"/>
        <v>74</v>
      </c>
    </row>
    <row r="58" spans="1:12" x14ac:dyDescent="0.3">
      <c r="A58">
        <v>57</v>
      </c>
      <c r="B58">
        <f t="shared" ca="1" si="0"/>
        <v>102.6</v>
      </c>
      <c r="C58">
        <f t="shared" ca="1" si="4"/>
        <v>95.333333333333329</v>
      </c>
      <c r="D58">
        <f t="shared" ca="1" si="5"/>
        <v>91.828571428571422</v>
      </c>
      <c r="E58">
        <f t="shared" ca="1" si="11"/>
        <v>94</v>
      </c>
      <c r="F58">
        <f t="shared" ca="1" si="6"/>
        <v>4.9232200070782168</v>
      </c>
      <c r="G58">
        <f t="shared" ca="1" si="7"/>
        <v>100.28571428571429</v>
      </c>
      <c r="H58">
        <f t="shared" ca="1" si="16"/>
        <v>92</v>
      </c>
      <c r="I58">
        <f t="shared" ca="1" si="9"/>
        <v>86</v>
      </c>
      <c r="J58">
        <f t="shared" ca="1" si="10"/>
        <v>94</v>
      </c>
      <c r="K58">
        <f t="shared" ca="1" si="14"/>
        <v>6</v>
      </c>
      <c r="L58">
        <f t="shared" ca="1" si="8"/>
        <v>83</v>
      </c>
    </row>
    <row r="59" spans="1:12" x14ac:dyDescent="0.3">
      <c r="A59">
        <v>58</v>
      </c>
      <c r="B59">
        <f t="shared" ca="1" si="0"/>
        <v>96.4</v>
      </c>
      <c r="C59">
        <f t="shared" ca="1" si="4"/>
        <v>97.466666666666654</v>
      </c>
      <c r="D59">
        <f t="shared" ca="1" si="5"/>
        <v>93.628571428571419</v>
      </c>
      <c r="E59">
        <f t="shared" ca="1" si="11"/>
        <v>115</v>
      </c>
      <c r="F59">
        <f t="shared" ca="1" si="6"/>
        <v>4.0296519996266724</v>
      </c>
      <c r="G59">
        <f t="shared" ca="1" si="7"/>
        <v>98.285714285714292</v>
      </c>
      <c r="H59">
        <f t="shared" ca="1" si="16"/>
        <v>93</v>
      </c>
      <c r="I59">
        <f t="shared" ca="1" si="9"/>
        <v>86</v>
      </c>
      <c r="J59">
        <f t="shared" ca="1" si="10"/>
        <v>94</v>
      </c>
      <c r="K59">
        <f t="shared" ca="1" si="14"/>
        <v>10</v>
      </c>
      <c r="L59">
        <f t="shared" ca="1" si="8"/>
        <v>76</v>
      </c>
    </row>
    <row r="60" spans="1:12" x14ac:dyDescent="0.3">
      <c r="A60">
        <v>59</v>
      </c>
      <c r="B60">
        <f t="shared" ca="1" si="0"/>
        <v>95.2</v>
      </c>
      <c r="C60">
        <f t="shared" ca="1" si="4"/>
        <v>97.600000000000009</v>
      </c>
      <c r="D60">
        <f t="shared" ca="1" si="5"/>
        <v>93.285714285714292</v>
      </c>
      <c r="E60">
        <f t="shared" ca="1" si="11"/>
        <v>96</v>
      </c>
      <c r="F60">
        <f t="shared" ca="1" si="6"/>
        <v>7.4610097618664639</v>
      </c>
      <c r="G60">
        <f t="shared" ca="1" si="7"/>
        <v>100</v>
      </c>
      <c r="H60">
        <f t="shared" ca="1" si="16"/>
        <v>89</v>
      </c>
      <c r="I60">
        <f t="shared" ca="1" si="9"/>
        <v>86</v>
      </c>
      <c r="J60">
        <f t="shared" ca="1" si="10"/>
        <v>94</v>
      </c>
      <c r="K60">
        <f t="shared" ca="1" si="14"/>
        <v>12</v>
      </c>
      <c r="L60">
        <f t="shared" ca="1" si="8"/>
        <v>79</v>
      </c>
    </row>
    <row r="61" spans="1:12" x14ac:dyDescent="0.3">
      <c r="A61">
        <v>60</v>
      </c>
      <c r="B61">
        <f t="shared" ca="1" si="0"/>
        <v>94</v>
      </c>
      <c r="C61">
        <f t="shared" ca="1" si="4"/>
        <v>98.066666666666663</v>
      </c>
      <c r="D61">
        <f t="shared" ca="1" si="5"/>
        <v>94.94285714285715</v>
      </c>
      <c r="E61">
        <f t="shared" ca="1" si="11"/>
        <v>100</v>
      </c>
      <c r="F61">
        <f t="shared" ca="1" si="6"/>
        <v>7.5372092852410439</v>
      </c>
      <c r="G61">
        <f t="shared" ca="1" si="7"/>
        <v>99.142857142857139</v>
      </c>
      <c r="H61">
        <f t="shared" ca="1" si="16"/>
        <v>88</v>
      </c>
      <c r="I61">
        <f t="shared" ca="1" si="9"/>
        <v>86</v>
      </c>
      <c r="J61">
        <f t="shared" ca="1" si="10"/>
        <v>93</v>
      </c>
      <c r="K61">
        <f t="shared" ca="1" si="14"/>
        <v>8</v>
      </c>
      <c r="L61">
        <f t="shared" ca="1" si="8"/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Denoising</vt:lpstr>
      <vt:lpstr>RollingSDAndRegimeShifts</vt:lpstr>
      <vt:lpstr>Dynamic Operating Envelopes</vt:lpstr>
      <vt:lpstr>CumulativeSaturationAndMemroy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Vaidya</dc:creator>
  <cp:lastModifiedBy>Aniruddha Vaidya</cp:lastModifiedBy>
  <dcterms:created xsi:type="dcterms:W3CDTF">2026-09-14T03:30:07Z</dcterms:created>
  <dcterms:modified xsi:type="dcterms:W3CDTF">2026-09-14T08:46:22Z</dcterms:modified>
</cp:coreProperties>
</file>